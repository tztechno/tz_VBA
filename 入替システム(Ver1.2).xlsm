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shi\Desktop\"/>
    </mc:Choice>
  </mc:AlternateContent>
  <xr:revisionPtr revIDLastSave="0" documentId="13_ncr:1_{5A0C359E-DD16-42EB-9616-8114B719035E}" xr6:coauthVersionLast="47" xr6:coauthVersionMax="47" xr10:uidLastSave="{00000000-0000-0000-0000-000000000000}"/>
  <bookViews>
    <workbookView xWindow="-108" yWindow="-108" windowWidth="23256" windowHeight="12576" tabRatio="483" xr2:uid="{D2C110EF-56B8-434E-80C6-38ECB1B80E92}"/>
  </bookViews>
  <sheets>
    <sheet name="入替シート" sheetId="3" r:id="rId1"/>
    <sheet name="meibo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5" i="3" l="1"/>
  <c r="G27" i="3"/>
  <c r="G23" i="3"/>
  <c r="G21" i="3"/>
  <c r="J17" i="3"/>
  <c r="G17" i="3"/>
  <c r="J15" i="3"/>
  <c r="G15" i="3"/>
  <c r="G7" i="3"/>
  <c r="J7" i="3"/>
  <c r="G9" i="3"/>
  <c r="J9" i="3"/>
  <c r="G11" i="3"/>
  <c r="J11" i="3"/>
  <c r="G13" i="3"/>
  <c r="J13" i="3"/>
  <c r="G19" i="3"/>
  <c r="J5" i="3"/>
  <c r="G5" i="3"/>
</calcChain>
</file>

<file path=xl/sharedStrings.xml><?xml version="1.0" encoding="utf-8"?>
<sst xmlns="http://schemas.openxmlformats.org/spreadsheetml/2006/main" count="120" uniqueCount="74">
  <si>
    <t>OFF</t>
    <phoneticPr fontId="1"/>
  </si>
  <si>
    <t>ON</t>
    <phoneticPr fontId="1"/>
  </si>
  <si>
    <t>F</t>
  </si>
  <si>
    <t>F</t>
    <phoneticPr fontId="1"/>
  </si>
  <si>
    <t>B</t>
  </si>
  <si>
    <t>事項</t>
    <rPh sb="0" eb="2">
      <t>ジコウ</t>
    </rPh>
    <phoneticPr fontId="1"/>
  </si>
  <si>
    <t>時間</t>
    <rPh sb="0" eb="2">
      <t>ジカン</t>
    </rPh>
    <phoneticPr fontId="1"/>
  </si>
  <si>
    <t>氏名</t>
    <rPh sb="0" eb="2">
      <t>シメイ</t>
    </rPh>
    <phoneticPr fontId="1"/>
  </si>
  <si>
    <t>No</t>
    <phoneticPr fontId="1"/>
  </si>
  <si>
    <t>事項</t>
    <phoneticPr fontId="1"/>
  </si>
  <si>
    <t>ON</t>
    <phoneticPr fontId="1"/>
  </si>
  <si>
    <t>チーム名</t>
    <rPh sb="3" eb="4">
      <t>メイ</t>
    </rPh>
    <phoneticPr fontId="1"/>
  </si>
  <si>
    <t>OUT</t>
    <phoneticPr fontId="1"/>
  </si>
  <si>
    <t>IN</t>
    <phoneticPr fontId="1"/>
  </si>
  <si>
    <t>カテゴリ</t>
    <phoneticPr fontId="1"/>
  </si>
  <si>
    <t>谷口祐一郎</t>
  </si>
  <si>
    <t>武井日向</t>
  </si>
  <si>
    <t>大山祥平</t>
  </si>
  <si>
    <t>柳川大樹</t>
  </si>
  <si>
    <t>マイケル・ストーバーグ</t>
  </si>
  <si>
    <t>アマト・ファカタヴァ</t>
  </si>
  <si>
    <t>松橋周平</t>
  </si>
  <si>
    <t>ネイサン・ヒューズ</t>
  </si>
  <si>
    <t>山本昌太</t>
  </si>
  <si>
    <t>マット・マッガーン</t>
  </si>
  <si>
    <t>ネタニ・ヴァカヤリア</t>
  </si>
  <si>
    <t>ハドレー・パークス</t>
  </si>
  <si>
    <t>栗原由太</t>
  </si>
  <si>
    <t>シオペ・タヴォ</t>
  </si>
  <si>
    <t>アイザック・ルーカス</t>
  </si>
  <si>
    <t>佐藤康</t>
  </si>
  <si>
    <t>西和磨</t>
  </si>
  <si>
    <t>千葉太一</t>
  </si>
  <si>
    <t>ジェイコブ・スキーン</t>
  </si>
  <si>
    <t>木原音弥</t>
  </si>
  <si>
    <t>南昂伸</t>
  </si>
  <si>
    <t>堀米航平</t>
  </si>
  <si>
    <t>セミシ・トゥポウ</t>
  </si>
  <si>
    <t>B</t>
    <phoneticPr fontId="1"/>
  </si>
  <si>
    <t>C</t>
    <phoneticPr fontId="1"/>
  </si>
  <si>
    <t>リコーブラックラムズ東京</t>
    <phoneticPr fontId="1"/>
  </si>
  <si>
    <t>No1</t>
    <phoneticPr fontId="1"/>
  </si>
  <si>
    <t>No2</t>
  </si>
  <si>
    <t>No3</t>
  </si>
  <si>
    <t>No4</t>
  </si>
  <si>
    <t>No5</t>
  </si>
  <si>
    <t>No6</t>
  </si>
  <si>
    <t>No7</t>
  </si>
  <si>
    <t>No8</t>
  </si>
  <si>
    <t>No9</t>
  </si>
  <si>
    <t>No10</t>
  </si>
  <si>
    <t>No11</t>
  </si>
  <si>
    <t>No12</t>
  </si>
  <si>
    <t>No13</t>
  </si>
  <si>
    <t>No14</t>
  </si>
  <si>
    <t>No15</t>
  </si>
  <si>
    <t>No16</t>
  </si>
  <si>
    <t>No17</t>
  </si>
  <si>
    <t>No18</t>
  </si>
  <si>
    <t>No19</t>
  </si>
  <si>
    <t>No20</t>
  </si>
  <si>
    <t>No21</t>
  </si>
  <si>
    <t>No22</t>
  </si>
  <si>
    <t>No23</t>
  </si>
  <si>
    <t>No24</t>
  </si>
  <si>
    <t>C</t>
  </si>
  <si>
    <t>復帰時間</t>
    <rPh sb="0" eb="2">
      <t>フッキ</t>
    </rPh>
    <rPh sb="2" eb="4">
      <t>ジカン</t>
    </rPh>
    <phoneticPr fontId="1"/>
  </si>
  <si>
    <t>西和磨</t>
    <phoneticPr fontId="1"/>
  </si>
  <si>
    <t>千葉太一</t>
    <phoneticPr fontId="1"/>
  </si>
  <si>
    <t>大山祥平</t>
    <phoneticPr fontId="1"/>
  </si>
  <si>
    <t>木原音弥</t>
    <phoneticPr fontId="1"/>
  </si>
  <si>
    <t>YC</t>
  </si>
  <si>
    <t>武井日向</t>
    <phoneticPr fontId="1"/>
  </si>
  <si>
    <t>柳川大樹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</si>
</sst>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0_);[Red]\(0\)"/>
  </numFmts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丸ｺﾞｼｯｸM-PRO"/>
      <family val="3"/>
      <charset val="128"/>
    </font>
    <font>
      <sz val="11"/>
      <name val="HG丸ｺﾞｼｯｸM-PRO"/>
      <family val="3"/>
      <charset val="128"/>
    </font>
    <font>
      <sz val="11"/>
      <color rgb="FF969696"/>
      <name val="HG丸ｺﾞｼｯｸM-PRO"/>
      <family val="3"/>
      <charset val="128"/>
    </font>
    <font>
      <i/>
      <sz val="11"/>
      <color rgb="FF969696"/>
      <name val="HG丸ｺﾞｼｯｸM-PRO"/>
      <family val="3"/>
      <charset val="128"/>
    </font>
    <font>
      <sz val="14"/>
      <name val="HG丸ｺﾞｼｯｸM-PRO"/>
      <family val="3"/>
      <charset val="128"/>
    </font>
    <font>
      <b/>
      <sz val="14"/>
      <color theme="1"/>
      <name val="HG丸ｺﾞｼｯｸM-PRO"/>
      <family val="3"/>
      <charset val="128"/>
    </font>
    <font>
      <sz val="11"/>
      <color theme="0"/>
      <name val="HG丸ｺﾞｼｯｸM-PRO"/>
      <family val="3"/>
      <charset val="128"/>
    </font>
    <font>
      <sz val="8"/>
      <color theme="0"/>
      <name val="HG丸ｺﾞｼｯｸM-PRO"/>
      <family val="3"/>
      <charset val="128"/>
    </font>
    <font>
      <sz val="14"/>
      <color theme="1"/>
      <name val="HG丸ｺﾞｼｯｸM-PRO"/>
      <family val="3"/>
      <charset val="128"/>
    </font>
    <font>
      <sz val="9"/>
      <name val="HG丸ｺﾞｼｯｸM-PRO"/>
      <family val="3"/>
      <charset val="128"/>
    </font>
    <font>
      <sz val="9"/>
      <color theme="1"/>
      <name val="HG丸ｺﾞｼｯｸM-PRO"/>
      <family val="3"/>
      <charset val="128"/>
    </font>
    <font>
      <b/>
      <sz val="14"/>
      <name val="HG丸ｺﾞｼｯｸM-PRO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FF66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94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0" fontId="3" fillId="2" borderId="0" xfId="0" applyFont="1" applyFill="1" applyProtection="1">
      <alignment vertical="center"/>
      <protection locked="0"/>
    </xf>
    <xf numFmtId="0" fontId="2" fillId="2" borderId="0" xfId="0" applyFont="1" applyFill="1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0" fontId="8" fillId="6" borderId="16" xfId="0" applyFont="1" applyFill="1" applyBorder="1" applyAlignment="1" applyProtection="1">
      <alignment horizontal="center" vertical="center"/>
      <protection locked="0"/>
    </xf>
    <xf numFmtId="0" fontId="8" fillId="6" borderId="17" xfId="0" applyFont="1" applyFill="1" applyBorder="1" applyAlignment="1" applyProtection="1">
      <alignment horizontal="center" vertical="center"/>
      <protection locked="0"/>
    </xf>
    <xf numFmtId="0" fontId="9" fillId="6" borderId="18" xfId="0" applyFont="1" applyFill="1" applyBorder="1" applyAlignment="1" applyProtection="1">
      <alignment horizontal="center" vertical="center" wrapText="1"/>
      <protection locked="0"/>
    </xf>
    <xf numFmtId="0" fontId="8" fillId="6" borderId="18" xfId="0" applyFont="1" applyFill="1" applyBorder="1" applyProtection="1">
      <alignment vertical="center"/>
      <protection locked="0"/>
    </xf>
    <xf numFmtId="0" fontId="8" fillId="6" borderId="18" xfId="0" applyFont="1" applyFill="1" applyBorder="1" applyAlignment="1" applyProtection="1">
      <alignment horizontal="center" vertical="center" shrinkToFit="1"/>
      <protection locked="0"/>
    </xf>
    <xf numFmtId="0" fontId="3" fillId="0" borderId="7" xfId="0" applyFont="1" applyBorder="1" applyAlignment="1" applyProtection="1">
      <alignment horizontal="center" vertical="center" shrinkToFit="1"/>
      <protection locked="0"/>
    </xf>
    <xf numFmtId="176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 applyProtection="1">
      <alignment horizontal="left" vertical="center" shrinkToFit="1"/>
      <protection locked="0"/>
    </xf>
    <xf numFmtId="176" fontId="3" fillId="0" borderId="8" xfId="0" applyNumberFormat="1" applyFont="1" applyBorder="1" applyAlignment="1" applyProtection="1">
      <alignment horizontal="center" vertical="center" shrinkToFit="1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5" fillId="2" borderId="0" xfId="0" applyFon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Protection="1">
      <alignment vertical="center"/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3" fillId="2" borderId="11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 shrinkToFit="1"/>
      <protection locked="0"/>
    </xf>
    <xf numFmtId="176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 shrinkToFit="1"/>
      <protection locked="0"/>
    </xf>
    <xf numFmtId="0" fontId="3" fillId="0" borderId="10" xfId="0" applyFont="1" applyBorder="1" applyAlignment="1" applyProtection="1">
      <alignment horizontal="left" vertical="center" shrinkToFit="1"/>
      <protection locked="0"/>
    </xf>
    <xf numFmtId="176" fontId="3" fillId="0" borderId="11" xfId="0" applyNumberFormat="1" applyFont="1" applyBorder="1" applyAlignment="1" applyProtection="1">
      <alignment horizontal="center" vertical="center" shrinkToFit="1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0" fontId="3" fillId="2" borderId="20" xfId="0" applyFont="1" applyFill="1" applyBorder="1" applyAlignment="1" applyProtection="1">
      <alignment horizontal="center" vertical="center"/>
      <protection locked="0"/>
    </xf>
    <xf numFmtId="176" fontId="3" fillId="2" borderId="20" xfId="0" applyNumberFormat="1" applyFont="1" applyFill="1" applyBorder="1" applyAlignment="1" applyProtection="1">
      <alignment horizontal="center" vertical="center"/>
      <protection locked="0"/>
    </xf>
    <xf numFmtId="0" fontId="3" fillId="2" borderId="19" xfId="0" applyFont="1" applyFill="1" applyBorder="1" applyProtection="1">
      <alignment vertical="center"/>
      <protection locked="0"/>
    </xf>
    <xf numFmtId="0" fontId="3" fillId="2" borderId="24" xfId="0" applyFont="1" applyFill="1" applyBorder="1" applyAlignment="1" applyProtection="1">
      <alignment horizontal="center" vertical="center"/>
      <protection locked="0"/>
    </xf>
    <xf numFmtId="176" fontId="3" fillId="2" borderId="24" xfId="0" applyNumberFormat="1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Protection="1">
      <alignment vertical="center"/>
      <protection locked="0"/>
    </xf>
    <xf numFmtId="0" fontId="3" fillId="7" borderId="12" xfId="0" applyFont="1" applyFill="1" applyBorder="1" applyAlignment="1" applyProtection="1">
      <alignment horizontal="center" vertical="center"/>
      <protection locked="0"/>
    </xf>
    <xf numFmtId="176" fontId="3" fillId="7" borderId="12" xfId="0" applyNumberFormat="1" applyFont="1" applyFill="1" applyBorder="1" applyAlignment="1" applyProtection="1">
      <alignment horizontal="center" vertical="center"/>
      <protection locked="0"/>
    </xf>
    <xf numFmtId="0" fontId="3" fillId="7" borderId="15" xfId="0" applyFont="1" applyFill="1" applyBorder="1" applyProtection="1">
      <alignment vertical="center"/>
      <protection locked="0"/>
    </xf>
    <xf numFmtId="0" fontId="3" fillId="7" borderId="22" xfId="0" applyFont="1" applyFill="1" applyBorder="1" applyAlignment="1" applyProtection="1">
      <alignment horizontal="center" vertical="center"/>
      <protection locked="0"/>
    </xf>
    <xf numFmtId="176" fontId="3" fillId="7" borderId="22" xfId="0" applyNumberFormat="1" applyFont="1" applyFill="1" applyBorder="1" applyAlignment="1" applyProtection="1">
      <alignment horizontal="center" vertical="center"/>
      <protection locked="0"/>
    </xf>
    <xf numFmtId="0" fontId="3" fillId="7" borderId="23" xfId="0" applyFont="1" applyFill="1" applyBorder="1" applyProtection="1">
      <alignment vertical="center"/>
      <protection locked="0"/>
    </xf>
    <xf numFmtId="0" fontId="11" fillId="2" borderId="0" xfId="0" applyFont="1" applyFill="1" applyProtection="1">
      <alignment vertical="center"/>
      <protection locked="0"/>
    </xf>
    <xf numFmtId="0" fontId="12" fillId="2" borderId="0" xfId="0" applyFont="1" applyFill="1" applyProtection="1">
      <alignment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8" fillId="6" borderId="25" xfId="0" applyFont="1" applyFill="1" applyBorder="1" applyAlignment="1" applyProtection="1">
      <alignment horizontal="center" vertical="center"/>
      <protection locked="0"/>
    </xf>
    <xf numFmtId="0" fontId="8" fillId="6" borderId="26" xfId="0" applyFont="1" applyFill="1" applyBorder="1" applyAlignment="1" applyProtection="1">
      <alignment horizontal="center" vertical="center"/>
      <protection locked="0"/>
    </xf>
    <xf numFmtId="0" fontId="8" fillId="6" borderId="27" xfId="0" applyFont="1" applyFill="1" applyBorder="1" applyAlignment="1" applyProtection="1">
      <alignment horizontal="center" vertical="center" shrinkToFit="1"/>
      <protection locked="0"/>
    </xf>
    <xf numFmtId="0" fontId="8" fillId="6" borderId="26" xfId="0" applyFont="1" applyFill="1" applyBorder="1" applyAlignment="1" applyProtection="1">
      <alignment horizontal="center" vertical="center"/>
      <protection locked="0"/>
    </xf>
    <xf numFmtId="177" fontId="6" fillId="4" borderId="5" xfId="0" applyNumberFormat="1" applyFont="1" applyFill="1" applyBorder="1" applyAlignment="1" applyProtection="1">
      <alignment horizontal="center" vertical="center"/>
      <protection locked="0"/>
    </xf>
    <xf numFmtId="177" fontId="6" fillId="4" borderId="7" xfId="0" applyNumberFormat="1" applyFont="1" applyFill="1" applyBorder="1" applyAlignment="1" applyProtection="1">
      <alignment horizontal="center" vertical="center"/>
      <protection locked="0"/>
    </xf>
    <xf numFmtId="0" fontId="6" fillId="0" borderId="6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3" fillId="8" borderId="6" xfId="0" applyFont="1" applyFill="1" applyBorder="1" applyAlignment="1" applyProtection="1">
      <alignment horizontal="center" vertical="center" wrapText="1"/>
      <protection locked="0"/>
    </xf>
    <xf numFmtId="0" fontId="3" fillId="8" borderId="1" xfId="0" applyFont="1" applyFill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13" fillId="3" borderId="7" xfId="0" applyFont="1" applyFill="1" applyBorder="1" applyAlignment="1" applyProtection="1">
      <alignment horizontal="center" vertical="center"/>
      <protection locked="0"/>
    </xf>
    <xf numFmtId="0" fontId="13" fillId="3" borderId="9" xfId="0" applyFont="1" applyFill="1" applyBorder="1" applyAlignment="1" applyProtection="1">
      <alignment horizontal="center" vertical="center"/>
      <protection locked="0"/>
    </xf>
    <xf numFmtId="0" fontId="13" fillId="0" borderId="1" xfId="0" applyFont="1" applyBorder="1" applyAlignment="1">
      <alignment horizontal="left" vertical="center" shrinkToFit="1"/>
    </xf>
    <xf numFmtId="0" fontId="13" fillId="0" borderId="10" xfId="0" applyFont="1" applyBorder="1" applyAlignment="1">
      <alignment horizontal="left" vertical="center" shrinkToFit="1"/>
    </xf>
    <xf numFmtId="0" fontId="7" fillId="8" borderId="1" xfId="0" applyFont="1" applyFill="1" applyBorder="1" applyAlignment="1" applyProtection="1">
      <alignment horizontal="center" vertical="center" shrinkToFit="1"/>
      <protection locked="0"/>
    </xf>
    <xf numFmtId="0" fontId="7" fillId="8" borderId="10" xfId="0" applyFont="1" applyFill="1" applyBorder="1" applyAlignment="1" applyProtection="1">
      <alignment horizontal="center" vertical="center" shrinkToFit="1"/>
      <protection locked="0"/>
    </xf>
    <xf numFmtId="0" fontId="7" fillId="5" borderId="1" xfId="0" applyFont="1" applyFill="1" applyBorder="1" applyAlignment="1" applyProtection="1">
      <alignment horizontal="center" vertical="center"/>
      <protection locked="0"/>
    </xf>
    <xf numFmtId="0" fontId="7" fillId="5" borderId="10" xfId="0" applyFont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>
      <alignment horizontal="center" vertical="center" shrinkToFit="1"/>
    </xf>
    <xf numFmtId="0" fontId="7" fillId="0" borderId="10" xfId="0" applyFont="1" applyBorder="1" applyAlignment="1">
      <alignment horizontal="center" vertical="center" shrinkToFit="1"/>
    </xf>
    <xf numFmtId="0" fontId="6" fillId="0" borderId="10" xfId="0" applyFont="1" applyBorder="1" applyAlignment="1">
      <alignment horizontal="left" vertical="center"/>
    </xf>
    <xf numFmtId="0" fontId="3" fillId="8" borderId="10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>
      <alignment horizontal="left" vertical="center" shrinkToFit="1"/>
    </xf>
    <xf numFmtId="0" fontId="10" fillId="2" borderId="1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8" fillId="6" borderId="2" xfId="0" applyFont="1" applyFill="1" applyBorder="1" applyAlignment="1" applyProtection="1">
      <alignment horizontal="center" vertical="center"/>
      <protection locked="0"/>
    </xf>
    <xf numFmtId="0" fontId="8" fillId="6" borderId="3" xfId="0" applyFont="1" applyFill="1" applyBorder="1" applyAlignment="1" applyProtection="1">
      <alignment horizontal="center" vertical="center"/>
      <protection locked="0"/>
    </xf>
    <xf numFmtId="0" fontId="8" fillId="6" borderId="4" xfId="0" applyFont="1" applyFill="1" applyBorder="1" applyAlignment="1" applyProtection="1">
      <alignment horizontal="center" vertical="center"/>
      <protection locked="0"/>
    </xf>
    <xf numFmtId="0" fontId="8" fillId="6" borderId="16" xfId="0" applyFont="1" applyFill="1" applyBorder="1" applyAlignment="1" applyProtection="1">
      <alignment horizontal="center" vertical="center"/>
      <protection locked="0"/>
    </xf>
    <xf numFmtId="0" fontId="8" fillId="6" borderId="17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13" fillId="3" borderId="14" xfId="0" applyFont="1" applyFill="1" applyBorder="1" applyAlignment="1" applyProtection="1">
      <alignment horizontal="center" vertical="center"/>
      <protection locked="0"/>
    </xf>
    <xf numFmtId="0" fontId="13" fillId="0" borderId="12" xfId="0" applyFont="1" applyBorder="1" applyAlignment="1">
      <alignment horizontal="left" vertical="center" shrinkToFit="1"/>
    </xf>
    <xf numFmtId="0" fontId="7" fillId="8" borderId="12" xfId="0" applyFont="1" applyFill="1" applyBorder="1" applyAlignment="1" applyProtection="1">
      <alignment horizontal="center" vertical="center" shrinkToFit="1"/>
      <protection locked="0"/>
    </xf>
    <xf numFmtId="0" fontId="7" fillId="5" borderId="12" xfId="0" applyFont="1" applyFill="1" applyBorder="1" applyAlignment="1" applyProtection="1">
      <alignment horizontal="center" vertical="center"/>
      <protection locked="0"/>
    </xf>
    <xf numFmtId="0" fontId="7" fillId="0" borderId="12" xfId="0" applyFont="1" applyBorder="1" applyAlignment="1">
      <alignment horizontal="left" vertical="center" shrinkToFit="1"/>
    </xf>
    <xf numFmtId="0" fontId="2" fillId="0" borderId="15" xfId="0" applyFont="1" applyBorder="1" applyAlignment="1" applyProtection="1">
      <alignment horizontal="center" vertical="center"/>
      <protection locked="0"/>
    </xf>
    <xf numFmtId="177" fontId="6" fillId="4" borderId="9" xfId="0" applyNumberFormat="1" applyFont="1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35"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99FF66"/>
      <color rgb="FFFFFFCC"/>
      <color rgb="FFFFCCFF"/>
      <color rgb="FFFF99FF"/>
      <color rgb="FF99FFCC"/>
      <color rgb="FFFFCC00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53764</xdr:colOff>
      <xdr:row>4</xdr:row>
      <xdr:rowOff>85724</xdr:rowOff>
    </xdr:from>
    <xdr:to>
      <xdr:col>10</xdr:col>
      <xdr:colOff>785496</xdr:colOff>
      <xdr:row>5</xdr:row>
      <xdr:rowOff>180975</xdr:rowOff>
    </xdr:to>
    <xdr:sp macro="[0]!入れ替えチェック213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F2D1821-25C5-4FF2-A079-A7F2F3264F36}"/>
            </a:ext>
          </a:extLst>
        </xdr:cNvPr>
        <xdr:cNvSpPr/>
      </xdr:nvSpPr>
      <xdr:spPr>
        <a:xfrm>
          <a:off x="7673764" y="1090179"/>
          <a:ext cx="731732" cy="346364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115144</xdr:colOff>
      <xdr:row>18</xdr:row>
      <xdr:rowOff>21166</xdr:rowOff>
    </xdr:from>
    <xdr:to>
      <xdr:col>10</xdr:col>
      <xdr:colOff>762844</xdr:colOff>
      <xdr:row>18</xdr:row>
      <xdr:rowOff>240976</xdr:rowOff>
    </xdr:to>
    <xdr:sp macro="[0]!ClearPlayerAndLog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5E242DEE-1656-62F7-ECD6-1569E3F3A3F5}"/>
            </a:ext>
          </a:extLst>
        </xdr:cNvPr>
        <xdr:cNvSpPr/>
      </xdr:nvSpPr>
      <xdr:spPr>
        <a:xfrm>
          <a:off x="7744669" y="4478866"/>
          <a:ext cx="647700" cy="219810"/>
        </a:xfrm>
        <a:prstGeom prst="roundRect">
          <a:avLst/>
        </a:prstGeom>
        <a:solidFill>
          <a:srgbClr val="FF99FF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kumimoji="1" lang="en-US" altLang="ja-JP" sz="1050" kern="1200"/>
            <a:t>OUT</a:t>
          </a:r>
          <a:endParaRPr kumimoji="1" lang="ja-JP" altLang="en-US" sz="1050" kern="1200"/>
        </a:p>
      </xdr:txBody>
    </xdr:sp>
    <xdr:clientData/>
  </xdr:twoCellAnchor>
  <xdr:twoCellAnchor>
    <xdr:from>
      <xdr:col>10</xdr:col>
      <xdr:colOff>115144</xdr:colOff>
      <xdr:row>19</xdr:row>
      <xdr:rowOff>13758</xdr:rowOff>
    </xdr:from>
    <xdr:to>
      <xdr:col>10</xdr:col>
      <xdr:colOff>762844</xdr:colOff>
      <xdr:row>19</xdr:row>
      <xdr:rowOff>233568</xdr:rowOff>
    </xdr:to>
    <xdr:sp macro="[0]!ReturnPlayerWithFlexibleCheck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0717ADB4-10F6-2EC3-B4F6-DD55E8C2E6E7}"/>
            </a:ext>
          </a:extLst>
        </xdr:cNvPr>
        <xdr:cNvSpPr/>
      </xdr:nvSpPr>
      <xdr:spPr>
        <a:xfrm>
          <a:off x="7744669" y="4719108"/>
          <a:ext cx="647700" cy="21981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100" kern="1200"/>
            <a:t>IN</a:t>
          </a:r>
          <a:endParaRPr kumimoji="1" lang="ja-JP" altLang="en-US" sz="1100" kern="1200"/>
        </a:p>
      </xdr:txBody>
    </xdr:sp>
    <xdr:clientData/>
  </xdr:twoCellAnchor>
  <xdr:twoCellAnchor>
    <xdr:from>
      <xdr:col>12</xdr:col>
      <xdr:colOff>67734</xdr:colOff>
      <xdr:row>0</xdr:row>
      <xdr:rowOff>110067</xdr:rowOff>
    </xdr:from>
    <xdr:to>
      <xdr:col>14</xdr:col>
      <xdr:colOff>177800</xdr:colOff>
      <xdr:row>2</xdr:row>
      <xdr:rowOff>115992</xdr:rowOff>
    </xdr:to>
    <xdr:sp macro="[0]!ShowUndoForm3" textlink="">
      <xdr:nvSpPr>
        <xdr:cNvPr id="14" name="四角形: 角を丸くする 13">
          <a:extLst>
            <a:ext uri="{FF2B5EF4-FFF2-40B4-BE49-F238E27FC236}">
              <a16:creationId xmlns:a16="http://schemas.microsoft.com/office/drawing/2014/main" id="{0FE9018A-372D-47FE-9361-09FB69FDCDAE}"/>
            </a:ext>
          </a:extLst>
        </xdr:cNvPr>
        <xdr:cNvSpPr/>
      </xdr:nvSpPr>
      <xdr:spPr>
        <a:xfrm>
          <a:off x="2802467" y="110067"/>
          <a:ext cx="1625600" cy="496992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/>
            <a:t>Stop Wacth</a:t>
          </a:r>
          <a:endParaRPr kumimoji="1" lang="ja-JP" altLang="en-US" sz="2000"/>
        </a:p>
      </xdr:txBody>
    </xdr:sp>
    <xdr:clientData/>
  </xdr:twoCellAnchor>
  <xdr:twoCellAnchor>
    <xdr:from>
      <xdr:col>10</xdr:col>
      <xdr:colOff>53764</xdr:colOff>
      <xdr:row>6</xdr:row>
      <xdr:rowOff>75352</xdr:rowOff>
    </xdr:from>
    <xdr:to>
      <xdr:col>10</xdr:col>
      <xdr:colOff>785496</xdr:colOff>
      <xdr:row>7</xdr:row>
      <xdr:rowOff>170604</xdr:rowOff>
    </xdr:to>
    <xdr:sp macro="[0]!入れ替えチェック2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3A7BE94-8812-5CAC-9AB0-53DDC10A0EAE}"/>
            </a:ext>
          </a:extLst>
        </xdr:cNvPr>
        <xdr:cNvSpPr/>
      </xdr:nvSpPr>
      <xdr:spPr>
        <a:xfrm>
          <a:off x="7673764" y="1582034"/>
          <a:ext cx="731732" cy="34636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53764</xdr:colOff>
      <xdr:row>8</xdr:row>
      <xdr:rowOff>87840</xdr:rowOff>
    </xdr:from>
    <xdr:to>
      <xdr:col>10</xdr:col>
      <xdr:colOff>787401</xdr:colOff>
      <xdr:row>9</xdr:row>
      <xdr:rowOff>179282</xdr:rowOff>
    </xdr:to>
    <xdr:sp macro="[0]!入れ替えチェック3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F4F4DE8-8D1D-2483-59EA-77F942C5AD27}"/>
            </a:ext>
          </a:extLst>
        </xdr:cNvPr>
        <xdr:cNvSpPr/>
      </xdr:nvSpPr>
      <xdr:spPr>
        <a:xfrm>
          <a:off x="7673764" y="2096749"/>
          <a:ext cx="733637" cy="342556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53764</xdr:colOff>
      <xdr:row>10</xdr:row>
      <xdr:rowOff>64768</xdr:rowOff>
    </xdr:from>
    <xdr:to>
      <xdr:col>10</xdr:col>
      <xdr:colOff>791211</xdr:colOff>
      <xdr:row>11</xdr:row>
      <xdr:rowOff>160021</xdr:rowOff>
    </xdr:to>
    <xdr:sp macro="[0]!入れ替えチェック4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4F20670-4C02-BC67-A4BA-C48285B2F026}"/>
            </a:ext>
          </a:extLst>
        </xdr:cNvPr>
        <xdr:cNvSpPr/>
      </xdr:nvSpPr>
      <xdr:spPr>
        <a:xfrm>
          <a:off x="7673764" y="2575904"/>
          <a:ext cx="737447" cy="346367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57574</xdr:colOff>
      <xdr:row>12</xdr:row>
      <xdr:rowOff>51433</xdr:rowOff>
    </xdr:from>
    <xdr:to>
      <xdr:col>10</xdr:col>
      <xdr:colOff>789306</xdr:colOff>
      <xdr:row>13</xdr:row>
      <xdr:rowOff>152401</xdr:rowOff>
    </xdr:to>
    <xdr:sp macro="[0]!入れ替えチェック5" textlink="">
      <xdr:nvSpPr>
        <xdr:cNvPr id="11" name="四角形: 角を丸くする 10">
          <a:extLst>
            <a:ext uri="{FF2B5EF4-FFF2-40B4-BE49-F238E27FC236}">
              <a16:creationId xmlns:a16="http://schemas.microsoft.com/office/drawing/2014/main" id="{EB0279DB-7209-24A4-5E97-0968C5583365}"/>
            </a:ext>
          </a:extLst>
        </xdr:cNvPr>
        <xdr:cNvSpPr/>
      </xdr:nvSpPr>
      <xdr:spPr>
        <a:xfrm>
          <a:off x="7687099" y="3023233"/>
          <a:ext cx="731732" cy="348618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63289</xdr:colOff>
      <xdr:row>14</xdr:row>
      <xdr:rowOff>55243</xdr:rowOff>
    </xdr:from>
    <xdr:to>
      <xdr:col>10</xdr:col>
      <xdr:colOff>796926</xdr:colOff>
      <xdr:row>15</xdr:row>
      <xdr:rowOff>152401</xdr:rowOff>
    </xdr:to>
    <xdr:sp macro="[0]!入れ替えチェック6" textlink="">
      <xdr:nvSpPr>
        <xdr:cNvPr id="12" name="四角形: 角を丸くする 11">
          <a:extLst>
            <a:ext uri="{FF2B5EF4-FFF2-40B4-BE49-F238E27FC236}">
              <a16:creationId xmlns:a16="http://schemas.microsoft.com/office/drawing/2014/main" id="{B53382FA-5B18-FBA5-B32A-03FADD07FF4F}"/>
            </a:ext>
          </a:extLst>
        </xdr:cNvPr>
        <xdr:cNvSpPr/>
      </xdr:nvSpPr>
      <xdr:spPr>
        <a:xfrm>
          <a:off x="7692814" y="3522343"/>
          <a:ext cx="733637" cy="344808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59479</xdr:colOff>
      <xdr:row>16</xdr:row>
      <xdr:rowOff>59053</xdr:rowOff>
    </xdr:from>
    <xdr:to>
      <xdr:col>10</xdr:col>
      <xdr:colOff>796926</xdr:colOff>
      <xdr:row>17</xdr:row>
      <xdr:rowOff>152401</xdr:rowOff>
    </xdr:to>
    <xdr:sp macro="[0]!入れ替えチェック7" textlink="">
      <xdr:nvSpPr>
        <xdr:cNvPr id="13" name="四角形: 角を丸くする 12">
          <a:extLst>
            <a:ext uri="{FF2B5EF4-FFF2-40B4-BE49-F238E27FC236}">
              <a16:creationId xmlns:a16="http://schemas.microsoft.com/office/drawing/2014/main" id="{8A34D6CD-C2A2-873C-C4F9-7710151503FD}"/>
            </a:ext>
          </a:extLst>
        </xdr:cNvPr>
        <xdr:cNvSpPr/>
      </xdr:nvSpPr>
      <xdr:spPr>
        <a:xfrm>
          <a:off x="7689004" y="4021453"/>
          <a:ext cx="737447" cy="340998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115144</xdr:colOff>
      <xdr:row>20</xdr:row>
      <xdr:rowOff>2540</xdr:rowOff>
    </xdr:from>
    <xdr:to>
      <xdr:col>10</xdr:col>
      <xdr:colOff>762844</xdr:colOff>
      <xdr:row>20</xdr:row>
      <xdr:rowOff>233780</xdr:rowOff>
    </xdr:to>
    <xdr:sp macro="[0]!ClearPlayerAndLog2" textlink="">
      <xdr:nvSpPr>
        <xdr:cNvPr id="15" name="四角形: 角を丸くする 14">
          <a:extLst>
            <a:ext uri="{FF2B5EF4-FFF2-40B4-BE49-F238E27FC236}">
              <a16:creationId xmlns:a16="http://schemas.microsoft.com/office/drawing/2014/main" id="{8CBB0EA9-F84C-075A-5B3F-BCF9EED8E607}"/>
            </a:ext>
          </a:extLst>
        </xdr:cNvPr>
        <xdr:cNvSpPr/>
      </xdr:nvSpPr>
      <xdr:spPr>
        <a:xfrm>
          <a:off x="7744669" y="4955540"/>
          <a:ext cx="647700" cy="231240"/>
        </a:xfrm>
        <a:prstGeom prst="roundRect">
          <a:avLst/>
        </a:prstGeom>
        <a:solidFill>
          <a:srgbClr val="FF99FF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kumimoji="1" lang="en-US" altLang="ja-JP" sz="1050" kern="1200"/>
            <a:t>OUT</a:t>
          </a:r>
          <a:endParaRPr kumimoji="1" lang="ja-JP" altLang="en-US" sz="1050" kern="1200"/>
        </a:p>
      </xdr:txBody>
    </xdr:sp>
    <xdr:clientData/>
  </xdr:twoCellAnchor>
  <xdr:twoCellAnchor>
    <xdr:from>
      <xdr:col>10</xdr:col>
      <xdr:colOff>115144</xdr:colOff>
      <xdr:row>21</xdr:row>
      <xdr:rowOff>2752</xdr:rowOff>
    </xdr:from>
    <xdr:to>
      <xdr:col>10</xdr:col>
      <xdr:colOff>762844</xdr:colOff>
      <xdr:row>21</xdr:row>
      <xdr:rowOff>233992</xdr:rowOff>
    </xdr:to>
    <xdr:sp macro="[0]!ReturnPlayerWithFlexibleCheck2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56AA79DF-AF72-8359-CFA5-95DE3F1C1CDB}"/>
            </a:ext>
          </a:extLst>
        </xdr:cNvPr>
        <xdr:cNvSpPr/>
      </xdr:nvSpPr>
      <xdr:spPr>
        <a:xfrm>
          <a:off x="7744669" y="5203402"/>
          <a:ext cx="647700" cy="23124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100" kern="1200"/>
            <a:t>IN</a:t>
          </a:r>
          <a:endParaRPr kumimoji="1" lang="ja-JP" altLang="en-US" sz="1100" kern="1200"/>
        </a:p>
      </xdr:txBody>
    </xdr:sp>
    <xdr:clientData/>
  </xdr:twoCellAnchor>
  <xdr:twoCellAnchor>
    <xdr:from>
      <xdr:col>10</xdr:col>
      <xdr:colOff>115144</xdr:colOff>
      <xdr:row>22</xdr:row>
      <xdr:rowOff>2964</xdr:rowOff>
    </xdr:from>
    <xdr:to>
      <xdr:col>10</xdr:col>
      <xdr:colOff>762844</xdr:colOff>
      <xdr:row>22</xdr:row>
      <xdr:rowOff>228489</xdr:rowOff>
    </xdr:to>
    <xdr:sp macro="[0]!ClearPlayerAndLog3" textlink="">
      <xdr:nvSpPr>
        <xdr:cNvPr id="17" name="四角形: 角を丸くする 16">
          <a:extLst>
            <a:ext uri="{FF2B5EF4-FFF2-40B4-BE49-F238E27FC236}">
              <a16:creationId xmlns:a16="http://schemas.microsoft.com/office/drawing/2014/main" id="{0BEC56A1-6B98-2671-4782-779EE8B210B8}"/>
            </a:ext>
          </a:extLst>
        </xdr:cNvPr>
        <xdr:cNvSpPr/>
      </xdr:nvSpPr>
      <xdr:spPr>
        <a:xfrm>
          <a:off x="7744669" y="5451264"/>
          <a:ext cx="647700" cy="225525"/>
        </a:xfrm>
        <a:prstGeom prst="roundRect">
          <a:avLst/>
        </a:prstGeom>
        <a:solidFill>
          <a:srgbClr val="FF99FF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kumimoji="1" lang="en-US" altLang="ja-JP" sz="1050" kern="1200"/>
            <a:t>OUT</a:t>
          </a:r>
          <a:endParaRPr kumimoji="1" lang="ja-JP" altLang="en-US" sz="1050" kern="1200"/>
        </a:p>
      </xdr:txBody>
    </xdr:sp>
    <xdr:clientData/>
  </xdr:twoCellAnchor>
  <xdr:twoCellAnchor>
    <xdr:from>
      <xdr:col>10</xdr:col>
      <xdr:colOff>115144</xdr:colOff>
      <xdr:row>22</xdr:row>
      <xdr:rowOff>245111</xdr:rowOff>
    </xdr:from>
    <xdr:to>
      <xdr:col>10</xdr:col>
      <xdr:colOff>762844</xdr:colOff>
      <xdr:row>23</xdr:row>
      <xdr:rowOff>222986</xdr:rowOff>
    </xdr:to>
    <xdr:sp macro="[0]!ReturnPlayerWithFlexibleCheck3" textlink="">
      <xdr:nvSpPr>
        <xdr:cNvPr id="18" name="四角形: 角を丸くする 17">
          <a:extLst>
            <a:ext uri="{FF2B5EF4-FFF2-40B4-BE49-F238E27FC236}">
              <a16:creationId xmlns:a16="http://schemas.microsoft.com/office/drawing/2014/main" id="{1E61A1A0-5845-8309-BE02-C8020D242371}"/>
            </a:ext>
          </a:extLst>
        </xdr:cNvPr>
        <xdr:cNvSpPr/>
      </xdr:nvSpPr>
      <xdr:spPr>
        <a:xfrm>
          <a:off x="7744669" y="5693411"/>
          <a:ext cx="647700" cy="2255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100" kern="1200"/>
            <a:t>IN</a:t>
          </a:r>
          <a:endParaRPr kumimoji="1" lang="ja-JP" altLang="en-US" sz="1100" kern="1200"/>
        </a:p>
      </xdr:txBody>
    </xdr:sp>
    <xdr:clientData/>
  </xdr:twoCellAnchor>
  <xdr:twoCellAnchor>
    <xdr:from>
      <xdr:col>10</xdr:col>
      <xdr:colOff>115144</xdr:colOff>
      <xdr:row>23</xdr:row>
      <xdr:rowOff>239608</xdr:rowOff>
    </xdr:from>
    <xdr:to>
      <xdr:col>10</xdr:col>
      <xdr:colOff>762844</xdr:colOff>
      <xdr:row>24</xdr:row>
      <xdr:rowOff>227008</xdr:rowOff>
    </xdr:to>
    <xdr:sp macro="[0]!ClearPlayerAndLog4" textlink="">
      <xdr:nvSpPr>
        <xdr:cNvPr id="19" name="四角形: 角を丸くする 18">
          <a:extLst>
            <a:ext uri="{FF2B5EF4-FFF2-40B4-BE49-F238E27FC236}">
              <a16:creationId xmlns:a16="http://schemas.microsoft.com/office/drawing/2014/main" id="{9C722A38-3A60-B104-559E-AD1BFCE68D96}"/>
            </a:ext>
          </a:extLst>
        </xdr:cNvPr>
        <xdr:cNvSpPr/>
      </xdr:nvSpPr>
      <xdr:spPr>
        <a:xfrm>
          <a:off x="7744669" y="5935558"/>
          <a:ext cx="647700" cy="235050"/>
        </a:xfrm>
        <a:prstGeom prst="roundRect">
          <a:avLst/>
        </a:prstGeom>
        <a:solidFill>
          <a:srgbClr val="FF99FF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kumimoji="1" lang="en-US" altLang="ja-JP" sz="1050" kern="1200"/>
            <a:t>OUT</a:t>
          </a:r>
          <a:endParaRPr kumimoji="1" lang="ja-JP" altLang="en-US" sz="1050" kern="1200"/>
        </a:p>
      </xdr:txBody>
    </xdr:sp>
    <xdr:clientData/>
  </xdr:twoCellAnchor>
  <xdr:twoCellAnchor>
    <xdr:from>
      <xdr:col>10</xdr:col>
      <xdr:colOff>115144</xdr:colOff>
      <xdr:row>24</xdr:row>
      <xdr:rowOff>243630</xdr:rowOff>
    </xdr:from>
    <xdr:to>
      <xdr:col>10</xdr:col>
      <xdr:colOff>762844</xdr:colOff>
      <xdr:row>25</xdr:row>
      <xdr:rowOff>231030</xdr:rowOff>
    </xdr:to>
    <xdr:sp macro="[0]!ReturnPlayerWithFlexibleCheck4" textlink="">
      <xdr:nvSpPr>
        <xdr:cNvPr id="20" name="四角形: 角を丸くする 19">
          <a:extLst>
            <a:ext uri="{FF2B5EF4-FFF2-40B4-BE49-F238E27FC236}">
              <a16:creationId xmlns:a16="http://schemas.microsoft.com/office/drawing/2014/main" id="{A7A1F35D-336F-C340-B49A-D7B5B89D9098}"/>
            </a:ext>
          </a:extLst>
        </xdr:cNvPr>
        <xdr:cNvSpPr/>
      </xdr:nvSpPr>
      <xdr:spPr>
        <a:xfrm>
          <a:off x="7744669" y="6187230"/>
          <a:ext cx="647700" cy="23505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100" kern="1200"/>
            <a:t>IN</a:t>
          </a:r>
          <a:endParaRPr kumimoji="1" lang="ja-JP" altLang="en-US" sz="1100" kern="1200"/>
        </a:p>
      </xdr:txBody>
    </xdr:sp>
    <xdr:clientData/>
  </xdr:twoCellAnchor>
  <xdr:twoCellAnchor>
    <xdr:from>
      <xdr:col>10</xdr:col>
      <xdr:colOff>115144</xdr:colOff>
      <xdr:row>26</xdr:row>
      <xdr:rowOff>2</xdr:rowOff>
    </xdr:from>
    <xdr:to>
      <xdr:col>10</xdr:col>
      <xdr:colOff>762844</xdr:colOff>
      <xdr:row>26</xdr:row>
      <xdr:rowOff>231242</xdr:rowOff>
    </xdr:to>
    <xdr:sp macro="[0]!ClearPlayerAndLog5" textlink="">
      <xdr:nvSpPr>
        <xdr:cNvPr id="21" name="四角形: 角を丸くする 20">
          <a:extLst>
            <a:ext uri="{FF2B5EF4-FFF2-40B4-BE49-F238E27FC236}">
              <a16:creationId xmlns:a16="http://schemas.microsoft.com/office/drawing/2014/main" id="{B74705E2-C2F5-0A3E-5B92-0EA1A91C8DA3}"/>
            </a:ext>
          </a:extLst>
        </xdr:cNvPr>
        <xdr:cNvSpPr/>
      </xdr:nvSpPr>
      <xdr:spPr>
        <a:xfrm>
          <a:off x="7744669" y="6438902"/>
          <a:ext cx="647700" cy="231240"/>
        </a:xfrm>
        <a:prstGeom prst="roundRect">
          <a:avLst/>
        </a:prstGeom>
        <a:solidFill>
          <a:srgbClr val="FF99FF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kumimoji="1" lang="en-US" altLang="ja-JP" sz="1050" kern="1200"/>
            <a:t>OUT</a:t>
          </a:r>
          <a:endParaRPr kumimoji="1" lang="ja-JP" altLang="en-US" sz="1050" kern="1200"/>
        </a:p>
      </xdr:txBody>
    </xdr:sp>
    <xdr:clientData/>
  </xdr:twoCellAnchor>
  <xdr:twoCellAnchor>
    <xdr:from>
      <xdr:col>10</xdr:col>
      <xdr:colOff>115144</xdr:colOff>
      <xdr:row>27</xdr:row>
      <xdr:rowOff>212</xdr:rowOff>
    </xdr:from>
    <xdr:to>
      <xdr:col>10</xdr:col>
      <xdr:colOff>762844</xdr:colOff>
      <xdr:row>27</xdr:row>
      <xdr:rowOff>231452</xdr:rowOff>
    </xdr:to>
    <xdr:sp macro="[0]!ReturnPlayerWithFlexibleCheck5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081D039E-F493-6228-B601-3CBD4D5CAF48}"/>
            </a:ext>
          </a:extLst>
        </xdr:cNvPr>
        <xdr:cNvSpPr/>
      </xdr:nvSpPr>
      <xdr:spPr>
        <a:xfrm>
          <a:off x="7744669" y="6686762"/>
          <a:ext cx="647700" cy="23124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100" kern="1200"/>
            <a:t>IN</a:t>
          </a:r>
          <a:endParaRPr kumimoji="1" lang="ja-JP" altLang="en-US" sz="1100" kern="1200"/>
        </a:p>
      </xdr:txBody>
    </xdr:sp>
    <xdr:clientData/>
  </xdr:twoCellAnchor>
  <xdr:twoCellAnchor>
    <xdr:from>
      <xdr:col>15</xdr:col>
      <xdr:colOff>59266</xdr:colOff>
      <xdr:row>0</xdr:row>
      <xdr:rowOff>110067</xdr:rowOff>
    </xdr:from>
    <xdr:to>
      <xdr:col>18</xdr:col>
      <xdr:colOff>956733</xdr:colOff>
      <xdr:row>2</xdr:row>
      <xdr:rowOff>115992</xdr:rowOff>
    </xdr:to>
    <xdr:sp macro="[0]!ShowUF1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F62EA9C7-D79E-1772-5DFC-F2FC9C575106}"/>
            </a:ext>
          </a:extLst>
        </xdr:cNvPr>
        <xdr:cNvSpPr/>
      </xdr:nvSpPr>
      <xdr:spPr>
        <a:xfrm>
          <a:off x="4665133" y="110067"/>
          <a:ext cx="4004733" cy="496992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/>
            <a:t>Start</a:t>
          </a:r>
          <a:endParaRPr kumimoji="1" lang="ja-JP" alt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AA9E6-BAB7-4D3F-A3E4-22D384ECCAB5}">
  <sheetPr codeName="Sheet3"/>
  <dimension ref="A1:AF94"/>
  <sheetViews>
    <sheetView tabSelected="1" zoomScale="90" zoomScaleNormal="90" workbookViewId="0">
      <selection activeCell="V17" sqref="V17"/>
    </sheetView>
  </sheetViews>
  <sheetFormatPr defaultRowHeight="19.2" customHeight="1" x14ac:dyDescent="0.45"/>
  <cols>
    <col min="1" max="1" width="4.296875" style="6" customWidth="1"/>
    <col min="2" max="2" width="21.69921875" style="6" customWidth="1"/>
    <col min="3" max="3" width="3" style="36" bestFit="1" customWidth="1"/>
    <col min="4" max="4" width="4.19921875" style="36" bestFit="1" customWidth="1"/>
    <col min="5" max="5" width="3.296875" style="5" hidden="1" customWidth="1"/>
    <col min="6" max="6" width="6" style="6" hidden="1" customWidth="1"/>
    <col min="7" max="7" width="21.69921875" style="6" hidden="1" customWidth="1"/>
    <col min="8" max="8" width="8.09765625" style="5" hidden="1" customWidth="1"/>
    <col min="9" max="9" width="6" style="6" hidden="1" customWidth="1"/>
    <col min="10" max="10" width="21.69921875" style="6" hidden="1" customWidth="1"/>
    <col min="11" max="11" width="11.3984375" style="6" hidden="1" customWidth="1"/>
    <col min="12" max="12" width="2.69921875" style="5" customWidth="1"/>
    <col min="13" max="13" width="7.5" style="6" customWidth="1"/>
    <col min="14" max="14" width="12.296875" style="6" customWidth="1"/>
    <col min="15" max="15" width="4.69921875" style="6" bestFit="1" customWidth="1"/>
    <col min="16" max="16" width="18" style="6" customWidth="1"/>
    <col min="17" max="17" width="4.796875" style="6" bestFit="1" customWidth="1"/>
    <col min="18" max="18" width="18" style="6" customWidth="1"/>
    <col min="19" max="19" width="13.296875" style="5" customWidth="1"/>
    <col min="20" max="20" width="6" style="51" hidden="1" customWidth="1"/>
    <col min="21" max="21" width="3.09765625" style="5" customWidth="1"/>
    <col min="22" max="22" width="7.5" style="6" customWidth="1"/>
    <col min="23" max="23" width="12.296875" style="6" customWidth="1"/>
    <col min="24" max="24" width="4.69921875" style="6" bestFit="1" customWidth="1"/>
    <col min="25" max="25" width="18" style="6" customWidth="1"/>
    <col min="26" max="26" width="13.3984375" style="5" customWidth="1"/>
    <col min="27" max="32" width="8.796875" style="5"/>
    <col min="33" max="16384" width="8.796875" style="6"/>
  </cols>
  <sheetData>
    <row r="1" spans="1:32" ht="19.2" customHeight="1" x14ac:dyDescent="0.45">
      <c r="A1" s="81" t="s">
        <v>11</v>
      </c>
      <c r="B1" s="82"/>
      <c r="C1" s="82"/>
      <c r="D1" s="83"/>
      <c r="E1" s="4"/>
      <c r="F1" s="86"/>
      <c r="G1" s="86"/>
      <c r="H1" s="86"/>
      <c r="I1" s="86"/>
      <c r="J1" s="4"/>
      <c r="K1" s="4"/>
      <c r="L1" s="4"/>
      <c r="M1" s="4"/>
      <c r="N1" s="4"/>
      <c r="O1" s="4"/>
      <c r="P1" s="4"/>
      <c r="Q1" s="4"/>
      <c r="R1" s="4"/>
      <c r="S1" s="4"/>
      <c r="T1" s="50"/>
      <c r="U1" s="4"/>
      <c r="V1" s="4"/>
      <c r="W1" s="4"/>
      <c r="X1" s="4"/>
      <c r="Y1" s="4"/>
    </row>
    <row r="2" spans="1:32" ht="19.2" customHeight="1" x14ac:dyDescent="0.45">
      <c r="A2" s="79" t="s">
        <v>40</v>
      </c>
      <c r="B2" s="79"/>
      <c r="C2" s="79"/>
      <c r="D2" s="79"/>
      <c r="E2" s="4"/>
      <c r="F2" s="86"/>
      <c r="G2" s="86"/>
      <c r="H2" s="86"/>
      <c r="I2" s="86"/>
      <c r="J2" s="4"/>
      <c r="K2" s="4"/>
      <c r="L2" s="4"/>
      <c r="M2" s="4"/>
      <c r="N2" s="4"/>
      <c r="O2" s="4"/>
      <c r="P2" s="4"/>
      <c r="Q2" s="4"/>
      <c r="R2" s="4"/>
      <c r="S2" s="4"/>
      <c r="T2" s="50"/>
      <c r="U2" s="4"/>
      <c r="V2" s="4"/>
      <c r="W2" s="4"/>
      <c r="X2" s="4"/>
      <c r="Y2" s="4"/>
    </row>
    <row r="3" spans="1:32" ht="19.2" customHeight="1" thickBot="1" x14ac:dyDescent="0.5">
      <c r="A3" s="80"/>
      <c r="B3" s="80"/>
      <c r="C3" s="80"/>
      <c r="D3" s="80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50"/>
      <c r="U3" s="4"/>
      <c r="V3" s="4"/>
      <c r="W3" s="4"/>
      <c r="X3" s="4"/>
      <c r="Y3" s="4"/>
    </row>
    <row r="4" spans="1:32" ht="19.2" customHeight="1" thickBot="1" x14ac:dyDescent="0.5">
      <c r="A4" s="7" t="s">
        <v>8</v>
      </c>
      <c r="B4" s="8" t="s">
        <v>7</v>
      </c>
      <c r="C4" s="8" t="s">
        <v>3</v>
      </c>
      <c r="D4" s="9" t="s">
        <v>14</v>
      </c>
      <c r="F4" s="84" t="s">
        <v>0</v>
      </c>
      <c r="G4" s="85"/>
      <c r="H4" s="8" t="s">
        <v>9</v>
      </c>
      <c r="I4" s="85" t="s">
        <v>10</v>
      </c>
      <c r="J4" s="85"/>
      <c r="K4" s="10"/>
      <c r="M4" s="7" t="s">
        <v>5</v>
      </c>
      <c r="N4" s="8" t="s">
        <v>6</v>
      </c>
      <c r="O4" s="85" t="s">
        <v>0</v>
      </c>
      <c r="P4" s="85"/>
      <c r="Q4" s="85" t="s">
        <v>1</v>
      </c>
      <c r="R4" s="85"/>
      <c r="S4" s="11" t="s">
        <v>66</v>
      </c>
      <c r="V4" s="54" t="s">
        <v>5</v>
      </c>
      <c r="W4" s="55" t="s">
        <v>6</v>
      </c>
      <c r="X4" s="57" t="s">
        <v>0</v>
      </c>
      <c r="Y4" s="57"/>
      <c r="Z4" s="56" t="s">
        <v>66</v>
      </c>
    </row>
    <row r="5" spans="1:32" ht="19.2" customHeight="1" x14ac:dyDescent="0.45">
      <c r="A5" s="17">
        <v>1</v>
      </c>
      <c r="B5" s="18"/>
      <c r="C5" s="19"/>
      <c r="D5" s="20"/>
      <c r="F5" s="87"/>
      <c r="G5" s="88" t="str">
        <f>IF(F5="","",VLOOKUP(F5,meibo!$A$1:$D$23,2,0))</f>
        <v/>
      </c>
      <c r="H5" s="89"/>
      <c r="I5" s="90"/>
      <c r="J5" s="91" t="str">
        <f>IF(I5="","",VLOOKUP(I5,meibo!$A$1:$D$23,2,0))</f>
        <v/>
      </c>
      <c r="K5" s="92"/>
      <c r="M5" s="12"/>
      <c r="N5" s="13"/>
      <c r="O5" s="14"/>
      <c r="P5" s="15"/>
      <c r="Q5" s="14"/>
      <c r="R5" s="15"/>
      <c r="S5" s="16"/>
      <c r="T5" s="51" t="s">
        <v>41</v>
      </c>
      <c r="V5" s="12" t="s">
        <v>71</v>
      </c>
      <c r="W5" s="13"/>
      <c r="X5" s="14">
        <v>16</v>
      </c>
      <c r="Y5" s="15" t="s">
        <v>30</v>
      </c>
      <c r="Z5" s="16"/>
    </row>
    <row r="6" spans="1:32" ht="19.2" customHeight="1" x14ac:dyDescent="0.45">
      <c r="A6" s="17">
        <v>16</v>
      </c>
      <c r="B6" s="18"/>
      <c r="C6" s="19"/>
      <c r="D6" s="20"/>
      <c r="F6" s="66"/>
      <c r="G6" s="68"/>
      <c r="H6" s="70"/>
      <c r="I6" s="72"/>
      <c r="J6" s="78"/>
      <c r="K6" s="64"/>
      <c r="M6" s="12"/>
      <c r="N6" s="13"/>
      <c r="O6" s="14"/>
      <c r="P6" s="15"/>
      <c r="Q6" s="14"/>
      <c r="R6" s="15"/>
      <c r="S6" s="16"/>
      <c r="T6" s="51" t="s">
        <v>42</v>
      </c>
      <c r="V6" s="12"/>
      <c r="W6" s="13"/>
      <c r="X6" s="14"/>
      <c r="Y6" s="15"/>
      <c r="Z6" s="16"/>
    </row>
    <row r="7" spans="1:32" ht="19.2" customHeight="1" x14ac:dyDescent="0.45">
      <c r="A7" s="17">
        <v>18</v>
      </c>
      <c r="B7" s="18" t="s">
        <v>68</v>
      </c>
      <c r="C7" s="19" t="s">
        <v>3</v>
      </c>
      <c r="D7" s="20"/>
      <c r="E7" s="4"/>
      <c r="F7" s="66"/>
      <c r="G7" s="68" t="str">
        <f>IF(F7="","",VLOOKUP(F7,meibo!$A$1:$D$23,2,0))</f>
        <v/>
      </c>
      <c r="H7" s="70"/>
      <c r="I7" s="72"/>
      <c r="J7" s="78" t="str">
        <f>IF(I7="","",VLOOKUP(I7,meibo!$A$1:$D$23,2,0))</f>
        <v/>
      </c>
      <c r="K7" s="64"/>
      <c r="L7" s="4"/>
      <c r="M7" s="12"/>
      <c r="N7" s="13"/>
      <c r="O7" s="14"/>
      <c r="P7" s="15"/>
      <c r="Q7" s="14"/>
      <c r="R7" s="15"/>
      <c r="S7" s="16"/>
      <c r="T7" s="51" t="s">
        <v>43</v>
      </c>
      <c r="V7" s="12"/>
      <c r="W7" s="13"/>
      <c r="X7" s="14"/>
      <c r="Y7" s="15"/>
      <c r="Z7" s="16"/>
    </row>
    <row r="8" spans="1:32" ht="19.2" customHeight="1" x14ac:dyDescent="0.45">
      <c r="A8" s="17">
        <v>4</v>
      </c>
      <c r="B8" s="18" t="s">
        <v>73</v>
      </c>
      <c r="C8" s="19"/>
      <c r="D8" s="20"/>
      <c r="F8" s="66"/>
      <c r="G8" s="68"/>
      <c r="H8" s="70"/>
      <c r="I8" s="72"/>
      <c r="J8" s="78"/>
      <c r="K8" s="64"/>
      <c r="M8" s="12"/>
      <c r="N8" s="13"/>
      <c r="O8" s="14"/>
      <c r="P8" s="15"/>
      <c r="Q8" s="14"/>
      <c r="R8" s="15"/>
      <c r="S8" s="16"/>
      <c r="T8" s="51" t="s">
        <v>44</v>
      </c>
      <c r="V8" s="12"/>
      <c r="W8" s="13"/>
      <c r="X8" s="14"/>
      <c r="Y8" s="15"/>
      <c r="Z8" s="16"/>
    </row>
    <row r="9" spans="1:32" ht="19.2" customHeight="1" x14ac:dyDescent="0.45">
      <c r="A9" s="17">
        <v>5</v>
      </c>
      <c r="B9" s="18" t="s">
        <v>19</v>
      </c>
      <c r="C9" s="19"/>
      <c r="D9" s="20" t="s">
        <v>4</v>
      </c>
      <c r="F9" s="66"/>
      <c r="G9" s="68" t="str">
        <f>IF(F9="","",VLOOKUP(F9,meibo!$A$1:$D$23,2,0))</f>
        <v/>
      </c>
      <c r="H9" s="70"/>
      <c r="I9" s="72"/>
      <c r="J9" s="78" t="str">
        <f>IF(I9="","",VLOOKUP(I9,meibo!$A$1:$D$23,2,0))</f>
        <v/>
      </c>
      <c r="K9" s="64"/>
      <c r="M9" s="12"/>
      <c r="N9" s="13"/>
      <c r="O9" s="14"/>
      <c r="P9" s="15"/>
      <c r="Q9" s="14"/>
      <c r="R9" s="15"/>
      <c r="S9" s="16"/>
      <c r="T9" s="51" t="s">
        <v>45</v>
      </c>
      <c r="V9" s="12"/>
      <c r="W9" s="13"/>
      <c r="X9" s="14"/>
      <c r="Y9" s="15"/>
      <c r="Z9" s="16"/>
    </row>
    <row r="10" spans="1:32" s="23" customFormat="1" ht="19.2" customHeight="1" x14ac:dyDescent="0.45">
      <c r="A10" s="17">
        <v>6</v>
      </c>
      <c r="B10" s="18" t="s">
        <v>20</v>
      </c>
      <c r="C10" s="19"/>
      <c r="D10" s="20"/>
      <c r="E10" s="21"/>
      <c r="F10" s="66"/>
      <c r="G10" s="68"/>
      <c r="H10" s="70"/>
      <c r="I10" s="72"/>
      <c r="J10" s="78"/>
      <c r="K10" s="64"/>
      <c r="L10" s="21"/>
      <c r="M10" s="12"/>
      <c r="N10" s="13"/>
      <c r="O10" s="14"/>
      <c r="P10" s="15"/>
      <c r="Q10" s="14"/>
      <c r="R10" s="15"/>
      <c r="S10" s="16"/>
      <c r="T10" s="51" t="s">
        <v>46</v>
      </c>
      <c r="U10" s="22"/>
      <c r="V10" s="12"/>
      <c r="W10" s="13"/>
      <c r="X10" s="14"/>
      <c r="Y10" s="15"/>
      <c r="Z10" s="16"/>
      <c r="AA10" s="22"/>
      <c r="AB10" s="22"/>
      <c r="AC10" s="22"/>
      <c r="AD10" s="22"/>
      <c r="AE10" s="22"/>
      <c r="AF10" s="22"/>
    </row>
    <row r="11" spans="1:32" s="23" customFormat="1" ht="19.2" customHeight="1" x14ac:dyDescent="0.45">
      <c r="A11" s="17">
        <v>7</v>
      </c>
      <c r="B11" s="18" t="s">
        <v>21</v>
      </c>
      <c r="C11" s="19"/>
      <c r="D11" s="20"/>
      <c r="E11" s="22"/>
      <c r="F11" s="66"/>
      <c r="G11" s="68" t="str">
        <f>IF(F11="","",VLOOKUP(F11,meibo!$A$1:$D$23,2,0))</f>
        <v/>
      </c>
      <c r="H11" s="70"/>
      <c r="I11" s="72"/>
      <c r="J11" s="78" t="str">
        <f>IF(I11="","",VLOOKUP(I11,meibo!$A$1:$D$23,2,0))</f>
        <v/>
      </c>
      <c r="K11" s="64"/>
      <c r="L11" s="22"/>
      <c r="M11" s="12"/>
      <c r="N11" s="13"/>
      <c r="O11" s="14"/>
      <c r="P11" s="15"/>
      <c r="Q11" s="14"/>
      <c r="R11" s="15"/>
      <c r="S11" s="16"/>
      <c r="T11" s="51" t="s">
        <v>47</v>
      </c>
      <c r="U11" s="22"/>
      <c r="V11" s="12"/>
      <c r="W11" s="13"/>
      <c r="X11" s="14"/>
      <c r="Y11" s="15"/>
      <c r="Z11" s="16"/>
      <c r="AA11" s="22"/>
      <c r="AB11" s="22"/>
      <c r="AC11" s="22"/>
      <c r="AD11" s="22"/>
      <c r="AE11" s="22"/>
      <c r="AF11" s="22"/>
    </row>
    <row r="12" spans="1:32" ht="19.2" customHeight="1" x14ac:dyDescent="0.45">
      <c r="A12" s="17">
        <v>8</v>
      </c>
      <c r="B12" s="18" t="s">
        <v>22</v>
      </c>
      <c r="C12" s="19"/>
      <c r="D12" s="20" t="s">
        <v>65</v>
      </c>
      <c r="F12" s="66"/>
      <c r="G12" s="68"/>
      <c r="H12" s="70"/>
      <c r="I12" s="72"/>
      <c r="J12" s="78"/>
      <c r="K12" s="64"/>
      <c r="M12" s="12"/>
      <c r="N12" s="13"/>
      <c r="O12" s="14"/>
      <c r="P12" s="15"/>
      <c r="Q12" s="14"/>
      <c r="R12" s="15"/>
      <c r="S12" s="16"/>
      <c r="T12" s="51" t="s">
        <v>48</v>
      </c>
      <c r="V12" s="12"/>
      <c r="W12" s="13"/>
      <c r="X12" s="14"/>
      <c r="Y12" s="15"/>
      <c r="Z12" s="16"/>
    </row>
    <row r="13" spans="1:32" ht="19.2" customHeight="1" x14ac:dyDescent="0.45">
      <c r="A13" s="17">
        <v>9</v>
      </c>
      <c r="B13" s="18" t="s">
        <v>23</v>
      </c>
      <c r="C13" s="19"/>
      <c r="D13" s="20"/>
      <c r="F13" s="66"/>
      <c r="G13" s="68" t="str">
        <f>IF(F13="","",VLOOKUP(F13,meibo!$A$1:$D$23,2,0))</f>
        <v/>
      </c>
      <c r="H13" s="70"/>
      <c r="I13" s="72"/>
      <c r="J13" s="78" t="str">
        <f>IF(I13="","",VLOOKUP(I13,meibo!$A$1:$D$23,2,0))</f>
        <v/>
      </c>
      <c r="K13" s="64"/>
      <c r="M13" s="12"/>
      <c r="N13" s="13"/>
      <c r="O13" s="14"/>
      <c r="P13" s="15"/>
      <c r="Q13" s="14"/>
      <c r="R13" s="15"/>
      <c r="S13" s="16"/>
      <c r="T13" s="51" t="s">
        <v>49</v>
      </c>
      <c r="V13" s="12"/>
      <c r="W13" s="13"/>
      <c r="X13" s="14"/>
      <c r="Y13" s="15"/>
      <c r="Z13" s="16"/>
    </row>
    <row r="14" spans="1:32" ht="19.2" customHeight="1" thickBot="1" x14ac:dyDescent="0.5">
      <c r="A14" s="17">
        <v>10</v>
      </c>
      <c r="B14" s="18" t="s">
        <v>24</v>
      </c>
      <c r="C14" s="19"/>
      <c r="D14" s="20"/>
      <c r="F14" s="66"/>
      <c r="G14" s="68"/>
      <c r="H14" s="70"/>
      <c r="I14" s="72"/>
      <c r="J14" s="78"/>
      <c r="K14" s="64"/>
      <c r="M14" s="12"/>
      <c r="N14" s="13"/>
      <c r="O14" s="14"/>
      <c r="P14" s="15"/>
      <c r="Q14" s="14"/>
      <c r="R14" s="15"/>
      <c r="S14" s="16"/>
      <c r="T14" s="51" t="s">
        <v>50</v>
      </c>
      <c r="V14" s="30"/>
      <c r="W14" s="31"/>
      <c r="X14" s="32"/>
      <c r="Y14" s="33"/>
      <c r="Z14" s="34"/>
    </row>
    <row r="15" spans="1:32" ht="19.2" customHeight="1" x14ac:dyDescent="0.45">
      <c r="A15" s="17">
        <v>11</v>
      </c>
      <c r="B15" s="18" t="s">
        <v>25</v>
      </c>
      <c r="C15" s="19"/>
      <c r="D15" s="20"/>
      <c r="F15" s="66"/>
      <c r="G15" s="68" t="str">
        <f>IF(F15="","",VLOOKUP(F15,meibo!$A$1:$D$23,2,0))</f>
        <v/>
      </c>
      <c r="H15" s="70"/>
      <c r="I15" s="72"/>
      <c r="J15" s="74" t="str">
        <f>IF(I15="","",VLOOKUP(I15,meibo!$A$1:$D$23,2,0))</f>
        <v/>
      </c>
      <c r="K15" s="64"/>
      <c r="M15" s="12"/>
      <c r="N15" s="13"/>
      <c r="O15" s="14"/>
      <c r="P15" s="15"/>
      <c r="Q15" s="14"/>
      <c r="R15" s="15"/>
      <c r="S15" s="16"/>
      <c r="T15" s="51" t="s">
        <v>51</v>
      </c>
      <c r="V15" s="4"/>
      <c r="W15" s="4"/>
      <c r="X15" s="4"/>
      <c r="Y15" s="4"/>
    </row>
    <row r="16" spans="1:32" ht="19.2" customHeight="1" x14ac:dyDescent="0.45">
      <c r="A16" s="17">
        <v>12</v>
      </c>
      <c r="B16" s="18" t="s">
        <v>26</v>
      </c>
      <c r="C16" s="19"/>
      <c r="D16" s="20" t="s">
        <v>65</v>
      </c>
      <c r="F16" s="66"/>
      <c r="G16" s="68"/>
      <c r="H16" s="70"/>
      <c r="I16" s="72"/>
      <c r="J16" s="74"/>
      <c r="K16" s="64"/>
      <c r="M16" s="12"/>
      <c r="N16" s="13"/>
      <c r="O16" s="14"/>
      <c r="P16" s="15"/>
      <c r="Q16" s="14"/>
      <c r="R16" s="15"/>
      <c r="S16" s="16"/>
      <c r="T16" s="51" t="s">
        <v>52</v>
      </c>
      <c r="V16" s="4"/>
      <c r="W16" s="4"/>
      <c r="X16" s="4"/>
      <c r="Y16" s="4"/>
    </row>
    <row r="17" spans="1:25" ht="19.2" customHeight="1" x14ac:dyDescent="0.45">
      <c r="A17" s="17">
        <v>13</v>
      </c>
      <c r="B17" s="18" t="s">
        <v>27</v>
      </c>
      <c r="C17" s="19"/>
      <c r="D17" s="20"/>
      <c r="F17" s="66"/>
      <c r="G17" s="68" t="str">
        <f>IF(F17="","",VLOOKUP(F17,meibo!$A$1:$D$23,2,0))</f>
        <v/>
      </c>
      <c r="H17" s="70"/>
      <c r="I17" s="72"/>
      <c r="J17" s="74" t="str">
        <f>IF(I17="","",VLOOKUP(I17,meibo!$A$1:$D$23,2,0))</f>
        <v/>
      </c>
      <c r="K17" s="64"/>
      <c r="M17" s="12"/>
      <c r="N17" s="13"/>
      <c r="O17" s="14"/>
      <c r="P17" s="15"/>
      <c r="Q17" s="14"/>
      <c r="R17" s="15"/>
      <c r="S17" s="16"/>
      <c r="T17" s="51" t="s">
        <v>53</v>
      </c>
      <c r="V17" s="4"/>
      <c r="W17" s="4"/>
      <c r="X17" s="4"/>
      <c r="Y17" s="4"/>
    </row>
    <row r="18" spans="1:25" ht="19.2" customHeight="1" thickBot="1" x14ac:dyDescent="0.5">
      <c r="A18" s="17">
        <v>14</v>
      </c>
      <c r="B18" s="18" t="s">
        <v>28</v>
      </c>
      <c r="C18" s="19"/>
      <c r="D18" s="20"/>
      <c r="F18" s="67"/>
      <c r="G18" s="69"/>
      <c r="H18" s="71"/>
      <c r="I18" s="73"/>
      <c r="J18" s="75"/>
      <c r="K18" s="65"/>
      <c r="M18" s="12"/>
      <c r="N18" s="13"/>
      <c r="O18" s="14"/>
      <c r="P18" s="15"/>
      <c r="Q18" s="14"/>
      <c r="R18" s="15"/>
      <c r="S18" s="16"/>
      <c r="T18" s="51" t="s">
        <v>54</v>
      </c>
      <c r="V18" s="4"/>
      <c r="W18" s="4"/>
      <c r="X18" s="4"/>
      <c r="Y18" s="4"/>
    </row>
    <row r="19" spans="1:25" ht="19.2" customHeight="1" thickBot="1" x14ac:dyDescent="0.5">
      <c r="A19" s="24">
        <v>15</v>
      </c>
      <c r="B19" s="25" t="s">
        <v>29</v>
      </c>
      <c r="C19" s="52"/>
      <c r="D19" s="53" t="s">
        <v>4</v>
      </c>
      <c r="F19" s="58"/>
      <c r="G19" s="60" t="str">
        <f>IF(F19="","",VLOOKUP(F19,meibo!$A$1:$D$23,2,0))</f>
        <v/>
      </c>
      <c r="H19" s="62"/>
      <c r="I19" s="38" t="s">
        <v>12</v>
      </c>
      <c r="J19" s="39"/>
      <c r="K19" s="40"/>
      <c r="M19" s="12"/>
      <c r="N19" s="13"/>
      <c r="O19" s="14"/>
      <c r="P19" s="15"/>
      <c r="Q19" s="14"/>
      <c r="R19" s="15"/>
      <c r="S19" s="16"/>
      <c r="T19" s="51" t="s">
        <v>55</v>
      </c>
      <c r="V19" s="4"/>
      <c r="W19" s="4"/>
      <c r="X19" s="4"/>
      <c r="Y19" s="4"/>
    </row>
    <row r="20" spans="1:25" ht="19.2" customHeight="1" x14ac:dyDescent="0.45">
      <c r="A20" s="17">
        <v>2</v>
      </c>
      <c r="B20" s="18" t="s">
        <v>72</v>
      </c>
      <c r="C20" s="28" t="s">
        <v>3</v>
      </c>
      <c r="D20" s="29"/>
      <c r="F20" s="59"/>
      <c r="G20" s="61"/>
      <c r="H20" s="63"/>
      <c r="I20" s="44" t="s">
        <v>13</v>
      </c>
      <c r="J20" s="45"/>
      <c r="K20" s="46"/>
      <c r="L20" s="4"/>
      <c r="M20" s="12"/>
      <c r="N20" s="13"/>
      <c r="O20" s="14"/>
      <c r="Q20" s="14"/>
      <c r="R20" s="15"/>
      <c r="S20" s="16"/>
      <c r="T20" s="51" t="s">
        <v>56</v>
      </c>
      <c r="V20" s="4"/>
      <c r="W20" s="4"/>
      <c r="X20" s="4"/>
      <c r="Y20" s="4"/>
    </row>
    <row r="21" spans="1:25" ht="19.2" customHeight="1" x14ac:dyDescent="0.45">
      <c r="A21" s="17">
        <v>17</v>
      </c>
      <c r="B21" s="18" t="s">
        <v>67</v>
      </c>
      <c r="C21" s="28" t="s">
        <v>3</v>
      </c>
      <c r="D21" s="29"/>
      <c r="F21" s="59"/>
      <c r="G21" s="61" t="str">
        <f>IF(F21="","",VLOOKUP(F21,meibo!$A$1:$D$23,2,0))</f>
        <v/>
      </c>
      <c r="H21" s="63"/>
      <c r="I21" s="41" t="s">
        <v>12</v>
      </c>
      <c r="J21" s="42"/>
      <c r="K21" s="43"/>
      <c r="L21" s="4"/>
      <c r="M21" s="12"/>
      <c r="N21" s="13"/>
      <c r="O21" s="14"/>
      <c r="P21" s="15"/>
      <c r="Q21" s="14"/>
      <c r="R21" s="15"/>
      <c r="S21" s="16"/>
      <c r="T21" s="51" t="s">
        <v>57</v>
      </c>
      <c r="V21" s="4"/>
      <c r="W21" s="4"/>
      <c r="X21" s="4"/>
      <c r="Y21" s="4"/>
    </row>
    <row r="22" spans="1:25" ht="19.2" customHeight="1" x14ac:dyDescent="0.45">
      <c r="A22" s="17">
        <v>3</v>
      </c>
      <c r="B22" s="18" t="s">
        <v>69</v>
      </c>
      <c r="C22" s="28" t="s">
        <v>3</v>
      </c>
      <c r="D22" s="29"/>
      <c r="F22" s="59"/>
      <c r="G22" s="61"/>
      <c r="H22" s="63"/>
      <c r="I22" s="44" t="s">
        <v>13</v>
      </c>
      <c r="J22" s="45"/>
      <c r="K22" s="46"/>
      <c r="L22" s="4"/>
      <c r="M22" s="12"/>
      <c r="N22" s="13"/>
      <c r="O22" s="14"/>
      <c r="P22" s="15"/>
      <c r="Q22" s="14"/>
      <c r="R22" s="15"/>
      <c r="S22" s="16"/>
      <c r="T22" s="51" t="s">
        <v>58</v>
      </c>
      <c r="V22" s="4"/>
      <c r="W22" s="4"/>
      <c r="X22" s="4"/>
      <c r="Y22" s="4"/>
    </row>
    <row r="23" spans="1:25" ht="19.2" customHeight="1" x14ac:dyDescent="0.45">
      <c r="A23" s="17">
        <v>19</v>
      </c>
      <c r="B23" s="18" t="s">
        <v>33</v>
      </c>
      <c r="C23" s="28"/>
      <c r="D23" s="29" t="s">
        <v>4</v>
      </c>
      <c r="F23" s="59"/>
      <c r="G23" s="61" t="str">
        <f>IF(F23="","",VLOOKUP(F23,meibo!$A$1:$D$23,2,0))</f>
        <v/>
      </c>
      <c r="H23" s="63"/>
      <c r="I23" s="41" t="s">
        <v>12</v>
      </c>
      <c r="J23" s="42"/>
      <c r="K23" s="43"/>
      <c r="L23" s="4"/>
      <c r="M23" s="12"/>
      <c r="N23" s="13"/>
      <c r="O23" s="14"/>
      <c r="P23" s="15"/>
      <c r="Q23" s="14"/>
      <c r="R23" s="15"/>
      <c r="S23" s="16"/>
      <c r="T23" s="51" t="s">
        <v>59</v>
      </c>
      <c r="V23" s="4"/>
      <c r="W23" s="4"/>
      <c r="X23" s="4"/>
      <c r="Y23" s="4"/>
    </row>
    <row r="24" spans="1:25" ht="19.2" customHeight="1" x14ac:dyDescent="0.45">
      <c r="A24" s="17">
        <v>20</v>
      </c>
      <c r="B24" s="18" t="s">
        <v>70</v>
      </c>
      <c r="C24" s="28"/>
      <c r="D24" s="29"/>
      <c r="F24" s="59"/>
      <c r="G24" s="61"/>
      <c r="H24" s="63"/>
      <c r="I24" s="44" t="s">
        <v>13</v>
      </c>
      <c r="J24" s="45"/>
      <c r="K24" s="46"/>
      <c r="L24" s="4"/>
      <c r="M24" s="12"/>
      <c r="N24" s="13"/>
      <c r="O24" s="14"/>
      <c r="P24" s="15"/>
      <c r="Q24" s="14"/>
      <c r="R24" s="15"/>
      <c r="S24" s="16"/>
      <c r="T24" s="51" t="s">
        <v>60</v>
      </c>
      <c r="V24" s="4"/>
      <c r="W24" s="4"/>
      <c r="X24" s="4"/>
      <c r="Y24" s="4"/>
    </row>
    <row r="25" spans="1:25" ht="19.2" customHeight="1" x14ac:dyDescent="0.45">
      <c r="A25" s="17">
        <v>21</v>
      </c>
      <c r="B25" s="18" t="s">
        <v>35</v>
      </c>
      <c r="C25" s="28"/>
      <c r="D25" s="29"/>
      <c r="F25" s="59"/>
      <c r="G25" s="61" t="str">
        <f>IF(F25="","",VLOOKUP(F25,meibo!$A$1:$D$23,2,0))</f>
        <v/>
      </c>
      <c r="H25" s="63"/>
      <c r="I25" s="41" t="s">
        <v>12</v>
      </c>
      <c r="J25" s="42"/>
      <c r="K25" s="43"/>
      <c r="L25" s="4"/>
      <c r="M25" s="12"/>
      <c r="N25" s="13"/>
      <c r="O25" s="14"/>
      <c r="P25" s="15"/>
      <c r="Q25" s="14"/>
      <c r="R25" s="15"/>
      <c r="S25" s="16"/>
      <c r="T25" s="51" t="s">
        <v>61</v>
      </c>
      <c r="V25" s="4"/>
      <c r="W25" s="4"/>
      <c r="X25" s="4"/>
      <c r="Y25" s="4"/>
    </row>
    <row r="26" spans="1:25" ht="19.2" customHeight="1" x14ac:dyDescent="0.45">
      <c r="A26" s="17">
        <v>22</v>
      </c>
      <c r="B26" s="18" t="s">
        <v>36</v>
      </c>
      <c r="C26" s="28"/>
      <c r="D26" s="29"/>
      <c r="F26" s="59"/>
      <c r="G26" s="61"/>
      <c r="H26" s="63"/>
      <c r="I26" s="44" t="s">
        <v>13</v>
      </c>
      <c r="J26" s="45"/>
      <c r="K26" s="46"/>
      <c r="L26" s="4"/>
      <c r="M26" s="12"/>
      <c r="N26" s="13"/>
      <c r="O26" s="14"/>
      <c r="P26" s="15"/>
      <c r="Q26" s="14"/>
      <c r="R26" s="15"/>
      <c r="S26" s="16"/>
      <c r="T26" s="51" t="s">
        <v>62</v>
      </c>
      <c r="V26" s="4"/>
      <c r="W26" s="4"/>
      <c r="X26" s="4"/>
      <c r="Y26" s="4"/>
    </row>
    <row r="27" spans="1:25" ht="19.2" customHeight="1" x14ac:dyDescent="0.45">
      <c r="A27" s="17">
        <v>23</v>
      </c>
      <c r="B27" s="18" t="s">
        <v>37</v>
      </c>
      <c r="C27" s="28"/>
      <c r="D27" s="29" t="s">
        <v>4</v>
      </c>
      <c r="F27" s="59"/>
      <c r="G27" s="61" t="str">
        <f>IF(F27="","",VLOOKUP(F27,meibo!$A$1:$D$23,2,0))</f>
        <v/>
      </c>
      <c r="H27" s="63"/>
      <c r="I27" s="41" t="s">
        <v>12</v>
      </c>
      <c r="J27" s="42"/>
      <c r="K27" s="43"/>
      <c r="L27" s="4"/>
      <c r="M27" s="12"/>
      <c r="N27" s="13"/>
      <c r="O27" s="14"/>
      <c r="P27" s="15"/>
      <c r="Q27" s="14"/>
      <c r="R27" s="15"/>
      <c r="S27" s="16"/>
      <c r="T27" s="51" t="s">
        <v>63</v>
      </c>
      <c r="V27" s="4"/>
      <c r="W27" s="4"/>
      <c r="X27" s="4"/>
      <c r="Y27" s="4"/>
    </row>
    <row r="28" spans="1:25" s="5" customFormat="1" ht="19.2" customHeight="1" thickBot="1" x14ac:dyDescent="0.5">
      <c r="A28" s="24"/>
      <c r="B28" s="25"/>
      <c r="C28" s="26"/>
      <c r="D28" s="27"/>
      <c r="E28" s="4"/>
      <c r="F28" s="93"/>
      <c r="G28" s="76"/>
      <c r="H28" s="77"/>
      <c r="I28" s="47" t="s">
        <v>13</v>
      </c>
      <c r="J28" s="48"/>
      <c r="K28" s="49"/>
      <c r="L28" s="4"/>
      <c r="M28" s="30"/>
      <c r="N28" s="31"/>
      <c r="O28" s="32"/>
      <c r="P28" s="33"/>
      <c r="Q28" s="32"/>
      <c r="R28" s="33"/>
      <c r="S28" s="34"/>
      <c r="T28" s="51" t="s">
        <v>64</v>
      </c>
      <c r="V28" s="4"/>
      <c r="W28" s="4"/>
      <c r="X28" s="4"/>
      <c r="Y28" s="4"/>
    </row>
    <row r="29" spans="1:25" s="5" customFormat="1" ht="19.2" customHeight="1" x14ac:dyDescent="0.45">
      <c r="A29" s="4"/>
      <c r="B29" s="4"/>
      <c r="C29" s="4"/>
      <c r="D29" s="4"/>
      <c r="E29" s="4"/>
      <c r="L29" s="4"/>
      <c r="M29" s="4"/>
      <c r="N29" s="4"/>
      <c r="O29" s="4"/>
      <c r="P29" s="4"/>
      <c r="Q29" s="4"/>
      <c r="R29" s="4"/>
      <c r="S29" s="4"/>
      <c r="T29" s="51"/>
      <c r="V29" s="4"/>
      <c r="W29" s="4"/>
      <c r="X29" s="4"/>
      <c r="Y29" s="4"/>
    </row>
    <row r="30" spans="1:25" s="5" customFormat="1" ht="19.2" customHeight="1" x14ac:dyDescent="0.45">
      <c r="A30" s="4"/>
      <c r="B30" s="4"/>
      <c r="C30" s="4"/>
      <c r="D30" s="4"/>
      <c r="E30" s="4"/>
      <c r="L30" s="4"/>
      <c r="M30" s="4"/>
      <c r="N30" s="4"/>
      <c r="O30" s="4"/>
      <c r="P30" s="4"/>
      <c r="Q30" s="4"/>
      <c r="R30" s="4"/>
      <c r="S30" s="4"/>
      <c r="T30" s="51"/>
      <c r="V30" s="4"/>
      <c r="W30" s="4"/>
      <c r="X30" s="4"/>
      <c r="Y30" s="4"/>
    </row>
    <row r="31" spans="1:25" s="5" customFormat="1" ht="19.2" customHeight="1" x14ac:dyDescent="0.45">
      <c r="C31" s="35"/>
      <c r="D31" s="35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51"/>
      <c r="V31" s="4"/>
      <c r="W31" s="4"/>
      <c r="X31" s="4"/>
      <c r="Y31" s="4"/>
    </row>
    <row r="32" spans="1:25" s="5" customFormat="1" ht="19.2" customHeight="1" x14ac:dyDescent="0.45">
      <c r="C32" s="35"/>
      <c r="D32" s="35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51"/>
      <c r="V32" s="4"/>
      <c r="W32" s="4"/>
      <c r="X32" s="4"/>
      <c r="Y32" s="4"/>
    </row>
    <row r="33" spans="3:25" s="5" customFormat="1" ht="19.2" customHeight="1" x14ac:dyDescent="0.45">
      <c r="C33" s="35"/>
      <c r="D33" s="35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51"/>
      <c r="V33" s="4"/>
      <c r="W33" s="4"/>
      <c r="X33" s="4"/>
      <c r="Y33" s="4"/>
    </row>
    <row r="34" spans="3:25" s="5" customFormat="1" ht="19.2" customHeight="1" x14ac:dyDescent="0.45">
      <c r="C34" s="35"/>
      <c r="D34" s="35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51"/>
      <c r="V34" s="4"/>
      <c r="W34" s="4"/>
      <c r="X34" s="4"/>
      <c r="Y34" s="4"/>
    </row>
    <row r="35" spans="3:25" s="5" customFormat="1" ht="19.2" customHeight="1" x14ac:dyDescent="0.45">
      <c r="C35" s="35"/>
      <c r="D35" s="35"/>
      <c r="M35" s="4"/>
      <c r="N35" s="4"/>
      <c r="O35" s="4"/>
      <c r="P35" s="4"/>
      <c r="Q35" s="4"/>
      <c r="R35" s="4"/>
      <c r="S35" s="4"/>
      <c r="T35" s="51"/>
      <c r="V35" s="4"/>
      <c r="W35" s="4"/>
      <c r="X35" s="4"/>
      <c r="Y35" s="4"/>
    </row>
    <row r="36" spans="3:25" s="5" customFormat="1" ht="19.2" customHeight="1" x14ac:dyDescent="0.45">
      <c r="C36" s="35"/>
      <c r="D36" s="35"/>
      <c r="M36" s="4"/>
      <c r="N36" s="4"/>
      <c r="O36" s="4"/>
      <c r="P36" s="4"/>
      <c r="Q36" s="4"/>
      <c r="R36" s="4"/>
      <c r="S36" s="4"/>
      <c r="T36" s="51"/>
      <c r="V36" s="4"/>
      <c r="W36" s="4"/>
      <c r="X36" s="4"/>
      <c r="Y36" s="4"/>
    </row>
    <row r="37" spans="3:25" s="5" customFormat="1" ht="19.2" customHeight="1" x14ac:dyDescent="0.45">
      <c r="C37" s="35"/>
      <c r="D37" s="35"/>
      <c r="M37" s="4"/>
      <c r="N37" s="4"/>
      <c r="O37" s="4"/>
      <c r="P37" s="4"/>
      <c r="Q37" s="4"/>
      <c r="R37" s="4"/>
      <c r="S37" s="4"/>
      <c r="T37" s="51"/>
      <c r="V37" s="4"/>
      <c r="W37" s="4"/>
      <c r="X37" s="4"/>
      <c r="Y37" s="4"/>
    </row>
    <row r="38" spans="3:25" s="5" customFormat="1" ht="19.2" customHeight="1" x14ac:dyDescent="0.45">
      <c r="C38" s="35"/>
      <c r="D38" s="35"/>
      <c r="M38" s="4"/>
      <c r="N38" s="4"/>
      <c r="O38" s="4"/>
      <c r="P38" s="4"/>
      <c r="Q38" s="4"/>
      <c r="R38" s="4"/>
      <c r="S38" s="4"/>
      <c r="T38" s="51"/>
      <c r="V38" s="4"/>
      <c r="W38" s="4"/>
      <c r="X38" s="4"/>
      <c r="Y38" s="4"/>
    </row>
    <row r="39" spans="3:25" s="5" customFormat="1" ht="19.2" customHeight="1" x14ac:dyDescent="0.45">
      <c r="C39" s="35"/>
      <c r="D39" s="35"/>
      <c r="M39" s="4"/>
      <c r="N39" s="4"/>
      <c r="O39" s="4"/>
      <c r="P39" s="4"/>
      <c r="Q39" s="4"/>
      <c r="R39" s="4"/>
      <c r="S39" s="4"/>
      <c r="T39" s="51"/>
      <c r="V39" s="4"/>
      <c r="W39" s="4"/>
      <c r="X39" s="4"/>
      <c r="Y39" s="4"/>
    </row>
    <row r="40" spans="3:25" s="5" customFormat="1" ht="19.2" customHeight="1" x14ac:dyDescent="0.45">
      <c r="C40" s="35"/>
      <c r="D40" s="35"/>
      <c r="M40" s="4"/>
      <c r="N40" s="4"/>
      <c r="O40" s="4"/>
      <c r="P40" s="4"/>
      <c r="Q40" s="4"/>
      <c r="R40" s="4"/>
      <c r="S40" s="4"/>
      <c r="T40" s="51"/>
      <c r="V40" s="4"/>
      <c r="W40" s="4"/>
      <c r="X40" s="4"/>
      <c r="Y40" s="4"/>
    </row>
    <row r="41" spans="3:25" s="5" customFormat="1" ht="19.2" customHeight="1" x14ac:dyDescent="0.45">
      <c r="C41" s="35"/>
      <c r="D41" s="35"/>
      <c r="M41" s="4"/>
      <c r="N41" s="4"/>
      <c r="O41" s="4"/>
      <c r="P41" s="4"/>
      <c r="Q41" s="4"/>
      <c r="R41" s="4"/>
      <c r="S41" s="4"/>
      <c r="T41" s="51"/>
      <c r="V41" s="4"/>
      <c r="W41" s="4"/>
      <c r="X41" s="4"/>
      <c r="Y41" s="4"/>
    </row>
    <row r="42" spans="3:25" s="5" customFormat="1" ht="19.2" customHeight="1" x14ac:dyDescent="0.45">
      <c r="C42" s="35"/>
      <c r="D42" s="35"/>
      <c r="M42" s="4"/>
      <c r="N42" s="4"/>
      <c r="O42" s="4"/>
      <c r="P42" s="4"/>
      <c r="Q42" s="4"/>
      <c r="R42" s="4"/>
      <c r="S42" s="4"/>
      <c r="T42" s="51"/>
      <c r="V42" s="4"/>
      <c r="W42" s="4"/>
      <c r="X42" s="4"/>
      <c r="Y42" s="4"/>
    </row>
    <row r="43" spans="3:25" s="5" customFormat="1" ht="19.2" customHeight="1" x14ac:dyDescent="0.45">
      <c r="C43" s="35"/>
      <c r="D43" s="35"/>
      <c r="M43" s="4"/>
      <c r="N43" s="4"/>
      <c r="O43" s="4"/>
      <c r="P43" s="4"/>
      <c r="Q43" s="4"/>
      <c r="R43" s="4"/>
      <c r="S43" s="4"/>
      <c r="T43" s="51"/>
      <c r="V43" s="4"/>
      <c r="W43" s="4"/>
      <c r="X43" s="4"/>
      <c r="Y43" s="4"/>
    </row>
    <row r="44" spans="3:25" s="5" customFormat="1" ht="19.2" customHeight="1" x14ac:dyDescent="0.45">
      <c r="C44" s="35"/>
      <c r="D44" s="35"/>
      <c r="M44" s="4"/>
      <c r="N44" s="4"/>
      <c r="O44" s="4"/>
      <c r="P44" s="4"/>
      <c r="Q44" s="4"/>
      <c r="R44" s="4"/>
      <c r="S44" s="4"/>
      <c r="T44" s="51"/>
      <c r="V44" s="4"/>
      <c r="W44" s="4"/>
      <c r="X44" s="4"/>
      <c r="Y44" s="4"/>
    </row>
    <row r="45" spans="3:25" s="5" customFormat="1" ht="19.2" customHeight="1" x14ac:dyDescent="0.45">
      <c r="C45" s="35"/>
      <c r="D45" s="35"/>
      <c r="M45" s="4"/>
      <c r="N45" s="4"/>
      <c r="O45" s="4"/>
      <c r="P45" s="4"/>
      <c r="Q45" s="4"/>
      <c r="R45" s="4"/>
      <c r="S45" s="4"/>
      <c r="T45" s="51"/>
      <c r="V45" s="4"/>
      <c r="W45" s="4"/>
      <c r="X45" s="4"/>
      <c r="Y45" s="4"/>
    </row>
    <row r="46" spans="3:25" s="5" customFormat="1" ht="19.2" customHeight="1" x14ac:dyDescent="0.45">
      <c r="C46" s="35"/>
      <c r="D46" s="35"/>
      <c r="M46" s="4"/>
      <c r="N46" s="4"/>
      <c r="O46" s="4"/>
      <c r="P46" s="4"/>
      <c r="Q46" s="4"/>
      <c r="R46" s="4"/>
      <c r="S46" s="4"/>
      <c r="T46" s="51"/>
      <c r="V46" s="4"/>
      <c r="W46" s="4"/>
      <c r="X46" s="4"/>
      <c r="Y46" s="4"/>
    </row>
    <row r="47" spans="3:25" s="5" customFormat="1" ht="19.2" customHeight="1" x14ac:dyDescent="0.45">
      <c r="C47" s="35"/>
      <c r="D47" s="35"/>
      <c r="M47" s="4"/>
      <c r="N47" s="4"/>
      <c r="O47" s="4"/>
      <c r="P47" s="4"/>
      <c r="Q47" s="4"/>
      <c r="R47" s="4"/>
      <c r="S47" s="4"/>
      <c r="T47" s="51"/>
      <c r="V47" s="4"/>
      <c r="W47" s="4"/>
      <c r="X47" s="4"/>
      <c r="Y47" s="4"/>
    </row>
    <row r="48" spans="3:25" s="5" customFormat="1" ht="19.2" customHeight="1" x14ac:dyDescent="0.45">
      <c r="C48" s="35"/>
      <c r="D48" s="35"/>
      <c r="M48" s="4"/>
      <c r="N48" s="4"/>
      <c r="O48" s="4"/>
      <c r="P48" s="4"/>
      <c r="Q48" s="4"/>
      <c r="R48" s="4"/>
      <c r="S48" s="4"/>
      <c r="T48" s="51"/>
      <c r="V48" s="4"/>
      <c r="W48" s="4"/>
      <c r="X48" s="4"/>
      <c r="Y48" s="4"/>
    </row>
    <row r="49" spans="3:25" s="5" customFormat="1" ht="19.2" customHeight="1" x14ac:dyDescent="0.45">
      <c r="C49" s="35"/>
      <c r="D49" s="35"/>
      <c r="M49" s="4"/>
      <c r="N49" s="4"/>
      <c r="O49" s="4"/>
      <c r="P49" s="4"/>
      <c r="Q49" s="4"/>
      <c r="R49" s="4"/>
      <c r="S49" s="4"/>
      <c r="T49" s="51"/>
      <c r="V49" s="4"/>
      <c r="W49" s="4"/>
      <c r="X49" s="4"/>
      <c r="Y49" s="4"/>
    </row>
    <row r="50" spans="3:25" s="5" customFormat="1" ht="19.2" customHeight="1" x14ac:dyDescent="0.45">
      <c r="C50" s="35"/>
      <c r="D50" s="35"/>
      <c r="M50" s="4"/>
      <c r="N50" s="4"/>
      <c r="O50" s="4"/>
      <c r="P50" s="4"/>
      <c r="Q50" s="4"/>
      <c r="R50" s="4"/>
      <c r="S50" s="4"/>
      <c r="T50" s="51"/>
      <c r="V50" s="4"/>
      <c r="W50" s="4"/>
      <c r="X50" s="4"/>
      <c r="Y50" s="4"/>
    </row>
    <row r="51" spans="3:25" ht="19.2" customHeight="1" x14ac:dyDescent="0.45">
      <c r="M51" s="37"/>
      <c r="N51" s="37"/>
      <c r="O51" s="37"/>
      <c r="P51" s="37"/>
      <c r="Q51" s="37"/>
      <c r="R51" s="37"/>
      <c r="S51" s="4"/>
      <c r="V51" s="37"/>
      <c r="W51" s="37"/>
      <c r="X51" s="37"/>
      <c r="Y51" s="37"/>
    </row>
    <row r="52" spans="3:25" ht="19.2" customHeight="1" x14ac:dyDescent="0.45">
      <c r="M52" s="37"/>
      <c r="N52" s="37"/>
      <c r="O52" s="37"/>
      <c r="P52" s="37"/>
      <c r="Q52" s="37"/>
      <c r="R52" s="37"/>
      <c r="S52" s="4"/>
      <c r="V52" s="37"/>
      <c r="W52" s="37"/>
      <c r="X52" s="37"/>
      <c r="Y52" s="37"/>
    </row>
    <row r="53" spans="3:25" ht="19.2" customHeight="1" x14ac:dyDescent="0.45">
      <c r="M53" s="37"/>
      <c r="N53" s="37"/>
      <c r="O53" s="37"/>
      <c r="P53" s="37"/>
      <c r="Q53" s="37"/>
      <c r="R53" s="37"/>
      <c r="S53" s="4"/>
      <c r="V53" s="37"/>
      <c r="W53" s="37"/>
      <c r="X53" s="37"/>
      <c r="Y53" s="37"/>
    </row>
    <row r="54" spans="3:25" ht="19.2" customHeight="1" x14ac:dyDescent="0.45">
      <c r="M54" s="37"/>
      <c r="N54" s="37"/>
      <c r="O54" s="37"/>
      <c r="P54" s="37"/>
      <c r="Q54" s="37"/>
      <c r="R54" s="37"/>
      <c r="S54" s="4"/>
      <c r="V54" s="37"/>
      <c r="W54" s="37"/>
      <c r="X54" s="37"/>
      <c r="Y54" s="37"/>
    </row>
    <row r="55" spans="3:25" ht="19.2" customHeight="1" x14ac:dyDescent="0.45">
      <c r="M55" s="37"/>
      <c r="N55" s="37"/>
      <c r="O55" s="37"/>
      <c r="P55" s="37"/>
      <c r="Q55" s="37"/>
      <c r="R55" s="37"/>
      <c r="S55" s="4"/>
      <c r="V55" s="37"/>
      <c r="W55" s="37"/>
      <c r="X55" s="37"/>
      <c r="Y55" s="37"/>
    </row>
    <row r="56" spans="3:25" ht="19.2" customHeight="1" x14ac:dyDescent="0.45">
      <c r="M56" s="37"/>
      <c r="N56" s="37"/>
      <c r="O56" s="37"/>
      <c r="P56" s="37"/>
      <c r="Q56" s="37"/>
      <c r="R56" s="37"/>
      <c r="S56" s="4"/>
      <c r="V56" s="37"/>
      <c r="W56" s="37"/>
      <c r="X56" s="37"/>
      <c r="Y56" s="37"/>
    </row>
    <row r="57" spans="3:25" ht="19.2" customHeight="1" x14ac:dyDescent="0.45">
      <c r="M57" s="37"/>
      <c r="N57" s="37"/>
      <c r="O57" s="37"/>
      <c r="P57" s="37"/>
      <c r="Q57" s="37"/>
      <c r="R57" s="37"/>
      <c r="S57" s="4"/>
      <c r="V57" s="37"/>
      <c r="W57" s="37"/>
      <c r="X57" s="37"/>
      <c r="Y57" s="37"/>
    </row>
    <row r="58" spans="3:25" ht="19.2" customHeight="1" x14ac:dyDescent="0.45">
      <c r="M58" s="37"/>
      <c r="N58" s="37"/>
      <c r="O58" s="37"/>
      <c r="P58" s="37"/>
      <c r="Q58" s="37"/>
      <c r="R58" s="37"/>
      <c r="S58" s="4"/>
      <c r="V58" s="37"/>
      <c r="W58" s="37"/>
      <c r="X58" s="37"/>
      <c r="Y58" s="37"/>
    </row>
    <row r="59" spans="3:25" ht="19.2" customHeight="1" x14ac:dyDescent="0.45">
      <c r="M59" s="37"/>
      <c r="N59" s="37"/>
      <c r="O59" s="37"/>
      <c r="P59" s="37"/>
      <c r="Q59" s="37"/>
      <c r="R59" s="37"/>
      <c r="S59" s="4"/>
      <c r="V59" s="37"/>
      <c r="W59" s="37"/>
      <c r="X59" s="37"/>
      <c r="Y59" s="37"/>
    </row>
    <row r="60" spans="3:25" ht="19.2" customHeight="1" x14ac:dyDescent="0.45">
      <c r="M60" s="37"/>
      <c r="N60" s="37"/>
      <c r="O60" s="37"/>
      <c r="P60" s="37"/>
      <c r="Q60" s="37"/>
      <c r="R60" s="37"/>
      <c r="S60" s="4"/>
      <c r="V60" s="37"/>
      <c r="W60" s="37"/>
      <c r="X60" s="37"/>
      <c r="Y60" s="37"/>
    </row>
    <row r="61" spans="3:25" ht="19.2" customHeight="1" x14ac:dyDescent="0.45">
      <c r="M61" s="37"/>
      <c r="N61" s="37"/>
      <c r="O61" s="37"/>
      <c r="P61" s="37"/>
      <c r="Q61" s="37"/>
      <c r="R61" s="37"/>
      <c r="S61" s="4"/>
      <c r="V61" s="37"/>
      <c r="W61" s="37"/>
      <c r="X61" s="37"/>
      <c r="Y61" s="37"/>
    </row>
    <row r="62" spans="3:25" ht="19.2" customHeight="1" x14ac:dyDescent="0.45">
      <c r="M62" s="37"/>
      <c r="N62" s="37"/>
      <c r="O62" s="37"/>
      <c r="P62" s="37"/>
      <c r="Q62" s="37"/>
      <c r="R62" s="37"/>
      <c r="S62" s="4"/>
      <c r="V62" s="37"/>
      <c r="W62" s="37"/>
      <c r="X62" s="37"/>
      <c r="Y62" s="37"/>
    </row>
    <row r="63" spans="3:25" ht="19.2" customHeight="1" x14ac:dyDescent="0.45">
      <c r="M63" s="37"/>
      <c r="N63" s="37"/>
      <c r="O63" s="37"/>
      <c r="P63" s="37"/>
      <c r="Q63" s="37"/>
      <c r="R63" s="37"/>
      <c r="S63" s="4"/>
      <c r="V63" s="37"/>
      <c r="W63" s="37"/>
      <c r="X63" s="37"/>
      <c r="Y63" s="37"/>
    </row>
    <row r="64" spans="3:25" ht="19.2" customHeight="1" x14ac:dyDescent="0.45">
      <c r="M64" s="37"/>
      <c r="N64" s="37"/>
      <c r="O64" s="37"/>
      <c r="P64" s="37"/>
      <c r="Q64" s="37"/>
      <c r="R64" s="37"/>
      <c r="S64" s="4"/>
      <c r="V64" s="37"/>
      <c r="W64" s="37"/>
      <c r="X64" s="37"/>
      <c r="Y64" s="37"/>
    </row>
    <row r="65" spans="13:25" ht="19.2" customHeight="1" x14ac:dyDescent="0.45">
      <c r="M65" s="37"/>
      <c r="N65" s="37"/>
      <c r="O65" s="37"/>
      <c r="P65" s="37"/>
      <c r="Q65" s="37"/>
      <c r="R65" s="37"/>
      <c r="S65" s="4"/>
      <c r="V65" s="37"/>
      <c r="W65" s="37"/>
      <c r="X65" s="37"/>
      <c r="Y65" s="37"/>
    </row>
    <row r="66" spans="13:25" ht="19.2" customHeight="1" x14ac:dyDescent="0.45">
      <c r="M66" s="37"/>
      <c r="N66" s="37"/>
      <c r="O66" s="37"/>
      <c r="P66" s="37"/>
      <c r="Q66" s="37"/>
      <c r="R66" s="37"/>
      <c r="S66" s="4"/>
      <c r="V66" s="37"/>
      <c r="W66" s="37"/>
      <c r="X66" s="37"/>
      <c r="Y66" s="37"/>
    </row>
    <row r="67" spans="13:25" ht="19.2" customHeight="1" x14ac:dyDescent="0.45">
      <c r="M67" s="37"/>
      <c r="N67" s="37"/>
      <c r="O67" s="37"/>
      <c r="P67" s="37"/>
      <c r="Q67" s="37"/>
      <c r="R67" s="37"/>
      <c r="S67" s="4"/>
      <c r="V67" s="37"/>
      <c r="W67" s="37"/>
      <c r="X67" s="37"/>
      <c r="Y67" s="37"/>
    </row>
    <row r="68" spans="13:25" ht="19.2" customHeight="1" x14ac:dyDescent="0.45">
      <c r="M68" s="37"/>
      <c r="N68" s="37"/>
      <c r="O68" s="37"/>
      <c r="P68" s="37"/>
      <c r="Q68" s="37"/>
      <c r="R68" s="37"/>
      <c r="S68" s="4"/>
      <c r="V68" s="37"/>
      <c r="W68" s="37"/>
      <c r="X68" s="37"/>
      <c r="Y68" s="37"/>
    </row>
    <row r="69" spans="13:25" ht="19.2" customHeight="1" x14ac:dyDescent="0.45">
      <c r="M69" s="37"/>
      <c r="N69" s="37"/>
      <c r="O69" s="37"/>
      <c r="P69" s="37"/>
      <c r="Q69" s="37"/>
      <c r="R69" s="37"/>
      <c r="S69" s="4"/>
      <c r="V69" s="37"/>
      <c r="W69" s="37"/>
      <c r="X69" s="37"/>
      <c r="Y69" s="37"/>
    </row>
    <row r="70" spans="13:25" ht="19.2" customHeight="1" x14ac:dyDescent="0.45">
      <c r="M70" s="37"/>
      <c r="N70" s="37"/>
      <c r="O70" s="37"/>
      <c r="P70" s="37"/>
      <c r="Q70" s="37"/>
      <c r="R70" s="37"/>
      <c r="S70" s="4"/>
      <c r="V70" s="37"/>
      <c r="W70" s="37"/>
      <c r="X70" s="37"/>
      <c r="Y70" s="37"/>
    </row>
    <row r="71" spans="13:25" ht="19.2" customHeight="1" x14ac:dyDescent="0.45">
      <c r="M71" s="37"/>
      <c r="N71" s="37"/>
      <c r="O71" s="37"/>
      <c r="P71" s="37"/>
      <c r="Q71" s="37"/>
      <c r="R71" s="37"/>
      <c r="S71" s="4"/>
      <c r="V71" s="37"/>
      <c r="W71" s="37"/>
      <c r="X71" s="37"/>
      <c r="Y71" s="37"/>
    </row>
    <row r="72" spans="13:25" ht="19.2" customHeight="1" x14ac:dyDescent="0.45">
      <c r="M72" s="37"/>
      <c r="N72" s="37"/>
      <c r="O72" s="37"/>
      <c r="P72" s="37"/>
      <c r="Q72" s="37"/>
      <c r="R72" s="37"/>
      <c r="S72" s="4"/>
      <c r="V72" s="37"/>
      <c r="W72" s="37"/>
      <c r="X72" s="37"/>
      <c r="Y72" s="37"/>
    </row>
    <row r="73" spans="13:25" ht="19.2" customHeight="1" x14ac:dyDescent="0.45">
      <c r="M73" s="37"/>
      <c r="N73" s="37"/>
      <c r="O73" s="37"/>
      <c r="P73" s="37"/>
      <c r="Q73" s="37"/>
      <c r="R73" s="37"/>
      <c r="S73" s="4"/>
      <c r="V73" s="37"/>
      <c r="W73" s="37"/>
      <c r="X73" s="37"/>
      <c r="Y73" s="37"/>
    </row>
    <row r="74" spans="13:25" ht="19.2" customHeight="1" x14ac:dyDescent="0.45">
      <c r="M74" s="37"/>
      <c r="N74" s="37"/>
      <c r="O74" s="37"/>
      <c r="P74" s="37"/>
      <c r="Q74" s="37"/>
      <c r="R74" s="37"/>
      <c r="S74" s="4"/>
      <c r="V74" s="37"/>
      <c r="W74" s="37"/>
      <c r="X74" s="37"/>
      <c r="Y74" s="37"/>
    </row>
    <row r="75" spans="13:25" ht="19.2" customHeight="1" x14ac:dyDescent="0.45">
      <c r="M75" s="37"/>
      <c r="N75" s="37"/>
      <c r="O75" s="37"/>
      <c r="P75" s="37"/>
      <c r="Q75" s="37"/>
      <c r="R75" s="37"/>
      <c r="S75" s="4"/>
      <c r="V75" s="37"/>
      <c r="W75" s="37"/>
      <c r="X75" s="37"/>
      <c r="Y75" s="37"/>
    </row>
    <row r="76" spans="13:25" ht="19.2" customHeight="1" x14ac:dyDescent="0.45">
      <c r="M76" s="37"/>
      <c r="N76" s="37"/>
      <c r="O76" s="37"/>
      <c r="P76" s="37"/>
      <c r="Q76" s="37"/>
      <c r="R76" s="37"/>
      <c r="S76" s="4"/>
      <c r="V76" s="37"/>
      <c r="W76" s="37"/>
      <c r="X76" s="37"/>
      <c r="Y76" s="37"/>
    </row>
    <row r="77" spans="13:25" ht="19.2" customHeight="1" x14ac:dyDescent="0.45">
      <c r="M77" s="37"/>
      <c r="N77" s="37"/>
      <c r="O77" s="37"/>
      <c r="P77" s="37"/>
      <c r="Q77" s="37"/>
      <c r="R77" s="37"/>
      <c r="S77" s="4"/>
      <c r="V77" s="37"/>
      <c r="W77" s="37"/>
      <c r="X77" s="37"/>
      <c r="Y77" s="37"/>
    </row>
    <row r="78" spans="13:25" ht="19.2" customHeight="1" x14ac:dyDescent="0.45">
      <c r="M78" s="37"/>
      <c r="N78" s="37"/>
      <c r="O78" s="37"/>
      <c r="P78" s="37"/>
      <c r="Q78" s="37"/>
      <c r="R78" s="37"/>
      <c r="S78" s="4"/>
      <c r="V78" s="37"/>
      <c r="W78" s="37"/>
      <c r="X78" s="37"/>
      <c r="Y78" s="37"/>
    </row>
    <row r="79" spans="13:25" ht="19.2" customHeight="1" x14ac:dyDescent="0.45">
      <c r="M79" s="37"/>
      <c r="N79" s="37"/>
      <c r="O79" s="37"/>
      <c r="P79" s="37"/>
      <c r="Q79" s="37"/>
      <c r="R79" s="37"/>
      <c r="S79" s="4"/>
      <c r="V79" s="37"/>
      <c r="W79" s="37"/>
      <c r="X79" s="37"/>
      <c r="Y79" s="37"/>
    </row>
    <row r="80" spans="13:25" ht="19.2" customHeight="1" x14ac:dyDescent="0.45">
      <c r="M80" s="37"/>
      <c r="N80" s="37"/>
      <c r="O80" s="37"/>
      <c r="P80" s="37"/>
      <c r="Q80" s="37"/>
      <c r="R80" s="37"/>
      <c r="S80" s="4"/>
      <c r="V80" s="37"/>
      <c r="W80" s="37"/>
      <c r="X80" s="37"/>
      <c r="Y80" s="37"/>
    </row>
    <row r="81" spans="13:25" ht="19.2" customHeight="1" x14ac:dyDescent="0.45">
      <c r="M81" s="37"/>
      <c r="N81" s="37"/>
      <c r="O81" s="37"/>
      <c r="P81" s="37"/>
      <c r="Q81" s="37"/>
      <c r="R81" s="37"/>
      <c r="S81" s="4"/>
      <c r="V81" s="37"/>
      <c r="W81" s="37"/>
      <c r="X81" s="37"/>
      <c r="Y81" s="37"/>
    </row>
    <row r="82" spans="13:25" ht="19.2" customHeight="1" x14ac:dyDescent="0.45">
      <c r="M82" s="37"/>
      <c r="N82" s="37"/>
      <c r="O82" s="37"/>
      <c r="P82" s="37"/>
      <c r="Q82" s="37"/>
      <c r="R82" s="37"/>
      <c r="S82" s="4"/>
      <c r="V82" s="37"/>
      <c r="W82" s="37"/>
      <c r="X82" s="37"/>
      <c r="Y82" s="37"/>
    </row>
    <row r="83" spans="13:25" ht="19.2" customHeight="1" x14ac:dyDescent="0.45">
      <c r="M83" s="37"/>
      <c r="N83" s="37"/>
      <c r="O83" s="37"/>
      <c r="P83" s="37"/>
      <c r="Q83" s="37"/>
      <c r="R83" s="37"/>
      <c r="S83" s="4"/>
      <c r="V83" s="37"/>
      <c r="W83" s="37"/>
      <c r="X83" s="37"/>
      <c r="Y83" s="37"/>
    </row>
    <row r="84" spans="13:25" ht="19.2" customHeight="1" x14ac:dyDescent="0.45">
      <c r="M84" s="37"/>
      <c r="N84" s="37"/>
      <c r="O84" s="37"/>
      <c r="P84" s="37"/>
      <c r="Q84" s="37"/>
      <c r="R84" s="37"/>
      <c r="S84" s="4"/>
      <c r="V84" s="37"/>
      <c r="W84" s="37"/>
      <c r="X84" s="37"/>
      <c r="Y84" s="37"/>
    </row>
    <row r="85" spans="13:25" ht="19.2" customHeight="1" x14ac:dyDescent="0.45">
      <c r="M85" s="37"/>
      <c r="N85" s="37"/>
      <c r="O85" s="37"/>
      <c r="P85" s="37"/>
      <c r="Q85" s="37"/>
      <c r="R85" s="37"/>
      <c r="S85" s="4"/>
      <c r="V85" s="37"/>
      <c r="W85" s="37"/>
      <c r="X85" s="37"/>
      <c r="Y85" s="37"/>
    </row>
    <row r="86" spans="13:25" ht="19.2" customHeight="1" x14ac:dyDescent="0.45">
      <c r="M86" s="37"/>
      <c r="N86" s="37"/>
      <c r="O86" s="37"/>
      <c r="P86" s="37"/>
      <c r="Q86" s="37"/>
      <c r="R86" s="37"/>
      <c r="S86" s="4"/>
      <c r="V86" s="37"/>
      <c r="W86" s="37"/>
      <c r="X86" s="37"/>
      <c r="Y86" s="37"/>
    </row>
    <row r="87" spans="13:25" ht="19.2" customHeight="1" x14ac:dyDescent="0.45">
      <c r="M87" s="37"/>
      <c r="N87" s="37"/>
      <c r="O87" s="37"/>
      <c r="P87" s="37"/>
      <c r="Q87" s="37"/>
      <c r="R87" s="37"/>
      <c r="S87" s="4"/>
      <c r="V87" s="37"/>
      <c r="W87" s="37"/>
      <c r="X87" s="37"/>
      <c r="Y87" s="37"/>
    </row>
    <row r="88" spans="13:25" ht="19.2" customHeight="1" x14ac:dyDescent="0.45">
      <c r="M88" s="37"/>
      <c r="N88" s="37"/>
      <c r="O88" s="37"/>
      <c r="P88" s="37"/>
      <c r="Q88" s="37"/>
      <c r="R88" s="37"/>
      <c r="S88" s="4"/>
      <c r="V88" s="37"/>
      <c r="W88" s="37"/>
      <c r="X88" s="37"/>
      <c r="Y88" s="37"/>
    </row>
    <row r="89" spans="13:25" ht="19.2" customHeight="1" x14ac:dyDescent="0.45">
      <c r="M89" s="37"/>
      <c r="N89" s="37"/>
      <c r="O89" s="37"/>
      <c r="P89" s="37"/>
      <c r="Q89" s="37"/>
      <c r="R89" s="37"/>
      <c r="S89" s="4"/>
      <c r="V89" s="37"/>
      <c r="W89" s="37"/>
      <c r="X89" s="37"/>
      <c r="Y89" s="37"/>
    </row>
    <row r="90" spans="13:25" ht="19.2" customHeight="1" x14ac:dyDescent="0.45">
      <c r="M90" s="37"/>
      <c r="N90" s="37"/>
      <c r="O90" s="37"/>
      <c r="P90" s="37"/>
      <c r="Q90" s="37"/>
      <c r="R90" s="37"/>
      <c r="S90" s="4"/>
      <c r="V90" s="37"/>
      <c r="W90" s="37"/>
      <c r="X90" s="37"/>
      <c r="Y90" s="37"/>
    </row>
    <row r="91" spans="13:25" ht="19.2" customHeight="1" x14ac:dyDescent="0.45">
      <c r="M91" s="37"/>
      <c r="N91" s="37"/>
      <c r="O91" s="37"/>
      <c r="P91" s="37"/>
      <c r="Q91" s="37"/>
      <c r="R91" s="37"/>
      <c r="S91" s="4"/>
      <c r="V91" s="37"/>
      <c r="W91" s="37"/>
      <c r="X91" s="37"/>
      <c r="Y91" s="37"/>
    </row>
    <row r="92" spans="13:25" ht="19.2" customHeight="1" x14ac:dyDescent="0.45">
      <c r="M92" s="37"/>
      <c r="N92" s="37"/>
      <c r="O92" s="37"/>
      <c r="P92" s="37"/>
      <c r="Q92" s="37"/>
      <c r="R92" s="37"/>
      <c r="S92" s="4"/>
      <c r="V92" s="37"/>
      <c r="W92" s="37"/>
      <c r="X92" s="37"/>
      <c r="Y92" s="37"/>
    </row>
    <row r="93" spans="13:25" ht="19.2" customHeight="1" x14ac:dyDescent="0.45">
      <c r="M93" s="37"/>
      <c r="N93" s="37"/>
      <c r="O93" s="37"/>
      <c r="P93" s="37"/>
      <c r="Q93" s="37"/>
      <c r="R93" s="37"/>
      <c r="S93" s="4"/>
      <c r="V93" s="37"/>
      <c r="W93" s="37"/>
      <c r="X93" s="37"/>
      <c r="Y93" s="37"/>
    </row>
    <row r="94" spans="13:25" ht="19.2" customHeight="1" x14ac:dyDescent="0.45">
      <c r="M94" s="37"/>
      <c r="N94" s="37"/>
      <c r="O94" s="37"/>
      <c r="P94" s="37"/>
      <c r="Q94" s="37"/>
      <c r="R94" s="37"/>
      <c r="S94" s="4"/>
      <c r="V94" s="37"/>
      <c r="W94" s="37"/>
      <c r="X94" s="37"/>
      <c r="Y94" s="37"/>
    </row>
  </sheetData>
  <mergeCells count="65">
    <mergeCell ref="F25:F26"/>
    <mergeCell ref="G25:G26"/>
    <mergeCell ref="H25:H26"/>
    <mergeCell ref="F27:F28"/>
    <mergeCell ref="F23:F24"/>
    <mergeCell ref="O4:P4"/>
    <mergeCell ref="Q4:R4"/>
    <mergeCell ref="F5:F6"/>
    <mergeCell ref="G5:G6"/>
    <mergeCell ref="H5:H6"/>
    <mergeCell ref="I5:I6"/>
    <mergeCell ref="J5:J6"/>
    <mergeCell ref="K5:K6"/>
    <mergeCell ref="K7:K8"/>
    <mergeCell ref="F9:F10"/>
    <mergeCell ref="A2:D3"/>
    <mergeCell ref="A1:D1"/>
    <mergeCell ref="F4:G4"/>
    <mergeCell ref="F1:I2"/>
    <mergeCell ref="G9:G10"/>
    <mergeCell ref="H9:H10"/>
    <mergeCell ref="I9:I10"/>
    <mergeCell ref="I4:J4"/>
    <mergeCell ref="F7:F8"/>
    <mergeCell ref="G7:G8"/>
    <mergeCell ref="H7:H8"/>
    <mergeCell ref="I7:I8"/>
    <mergeCell ref="J7:J8"/>
    <mergeCell ref="K15:K16"/>
    <mergeCell ref="J9:J10"/>
    <mergeCell ref="K9:K10"/>
    <mergeCell ref="F13:F14"/>
    <mergeCell ref="G13:G14"/>
    <mergeCell ref="H13:H14"/>
    <mergeCell ref="I13:I14"/>
    <mergeCell ref="J13:J14"/>
    <mergeCell ref="K13:K14"/>
    <mergeCell ref="F11:F12"/>
    <mergeCell ref="G11:G12"/>
    <mergeCell ref="H11:H12"/>
    <mergeCell ref="I11:I12"/>
    <mergeCell ref="J11:J12"/>
    <mergeCell ref="K11:K12"/>
    <mergeCell ref="F15:F16"/>
    <mergeCell ref="J15:J16"/>
    <mergeCell ref="G27:G28"/>
    <mergeCell ref="H27:H28"/>
    <mergeCell ref="G23:G24"/>
    <mergeCell ref="H23:H24"/>
    <mergeCell ref="X4:Y4"/>
    <mergeCell ref="F19:F20"/>
    <mergeCell ref="G19:G20"/>
    <mergeCell ref="H19:H20"/>
    <mergeCell ref="F21:F22"/>
    <mergeCell ref="G21:G22"/>
    <mergeCell ref="H21:H22"/>
    <mergeCell ref="K17:K18"/>
    <mergeCell ref="F17:F18"/>
    <mergeCell ref="G17:G18"/>
    <mergeCell ref="H17:H18"/>
    <mergeCell ref="I17:I18"/>
    <mergeCell ref="J17:J18"/>
    <mergeCell ref="G15:G16"/>
    <mergeCell ref="H15:H16"/>
    <mergeCell ref="I15:I16"/>
  </mergeCells>
  <phoneticPr fontId="1"/>
  <conditionalFormatting sqref="H19:H28">
    <cfRule type="cellIs" dxfId="34" priority="38" operator="equal">
      <formula>"FPRO"</formula>
    </cfRule>
    <cfRule type="cellIs" dxfId="33" priority="39" operator="equal">
      <formula>"YC"</formula>
    </cfRule>
    <cfRule type="cellIs" dxfId="32" priority="40" operator="equal">
      <formula>"RC"</formula>
    </cfRule>
  </conditionalFormatting>
  <conditionalFormatting sqref="H19:H28">
    <cfRule type="containsText" dxfId="31" priority="36" operator="containsText" text="RC">
      <formula>NOT(ISERROR(SEARCH("RC",H19)))</formula>
    </cfRule>
    <cfRule type="containsText" dxfId="30" priority="37" operator="containsText" text="YC">
      <formula>NOT(ISERROR(SEARCH("YC",H19)))</formula>
    </cfRule>
  </conditionalFormatting>
  <conditionalFormatting sqref="G5:G6">
    <cfRule type="expression" dxfId="29" priority="30">
      <formula>VLOOKUP($F$5,$A$5:$D$19,4,0)="C"</formula>
    </cfRule>
    <cfRule type="expression" dxfId="28" priority="31">
      <formula>VLOOKUP($F$5,$A$5:$D$19,4,0)="B"</formula>
    </cfRule>
  </conditionalFormatting>
  <conditionalFormatting sqref="G7:G8">
    <cfRule type="expression" dxfId="27" priority="27">
      <formula>VLOOKUP($F$7,$A$5:$D$19,4,0)="B"</formula>
    </cfRule>
    <cfRule type="expression" dxfId="26" priority="29">
      <formula>VLOOKUP($F$7,$A$5:$D$19,4,0)="C"</formula>
    </cfRule>
  </conditionalFormatting>
  <conditionalFormatting sqref="G9:G10">
    <cfRule type="expression" dxfId="25" priority="25">
      <formula>VLOOKUP($F$9,$A$5:$D$19,4,0)="B"</formula>
    </cfRule>
    <cfRule type="expression" dxfId="24" priority="26">
      <formula>VLOOKUP($F$9,$A$5:$D$19,4,0)="C"</formula>
    </cfRule>
  </conditionalFormatting>
  <conditionalFormatting sqref="G11:G12">
    <cfRule type="expression" dxfId="23" priority="23">
      <formula>VLOOKUP($F$11,$A$5:$D$19,4,0)="B"</formula>
    </cfRule>
    <cfRule type="expression" dxfId="22" priority="24">
      <formula>VLOOKUP($F$11,$A$5:$D$19,4,0)="C"</formula>
    </cfRule>
  </conditionalFormatting>
  <conditionalFormatting sqref="G13:G14">
    <cfRule type="expression" dxfId="21" priority="21">
      <formula>VLOOKUP($F$13,$A$5:$D$19,4,0)="C"</formula>
    </cfRule>
    <cfRule type="expression" dxfId="20" priority="22">
      <formula>VLOOKUP($F$13,$A$5:$D$19,4,0)="B"</formula>
    </cfRule>
  </conditionalFormatting>
  <conditionalFormatting sqref="G15:G16">
    <cfRule type="expression" dxfId="19" priority="19">
      <formula>VLOOKUP($F$15,$A$5:$D$19,4,0)="C"</formula>
    </cfRule>
    <cfRule type="expression" dxfId="18" priority="20">
      <formula>VLOOKUP($F$15,$A$5:$D$19,4,0)="B"</formula>
    </cfRule>
  </conditionalFormatting>
  <conditionalFormatting sqref="G17:G18">
    <cfRule type="expression" dxfId="17" priority="17">
      <formula>VLOOKUP($F$17,$A$5:$D$19,4,0)="C"</formula>
    </cfRule>
    <cfRule type="expression" dxfId="16" priority="18">
      <formula>VLOOKUP($F$17,$A$5:$D$19,4,0)="B"</formula>
    </cfRule>
  </conditionalFormatting>
  <conditionalFormatting sqref="J5:J6">
    <cfRule type="expression" dxfId="15" priority="15">
      <formula>VLOOKUP($I$5,$A$20:$D$28,4,0)="B"</formula>
    </cfRule>
    <cfRule type="expression" dxfId="14" priority="16">
      <formula>VLOOKUP($I$5,$A$20:$D$28,4,0)="C"</formula>
    </cfRule>
  </conditionalFormatting>
  <conditionalFormatting sqref="J7:J8">
    <cfRule type="expression" dxfId="13" priority="13">
      <formula>VLOOKUP($I$7,$A$20:$D$28,4,0)="B"</formula>
    </cfRule>
    <cfRule type="expression" dxfId="12" priority="14">
      <formula>VLOOKUP($I$7,$A$20:$D$28,4,0)="C"</formula>
    </cfRule>
  </conditionalFormatting>
  <conditionalFormatting sqref="J9:J10">
    <cfRule type="expression" dxfId="11" priority="11">
      <formula>VLOOKUP($I$9,$A$20:$D$28,4,0)="B"</formula>
    </cfRule>
    <cfRule type="expression" dxfId="10" priority="12">
      <formula>VLOOKUP($I$9,$A$20:$D$28,4,0)="C"</formula>
    </cfRule>
  </conditionalFormatting>
  <conditionalFormatting sqref="J11:J12">
    <cfRule type="expression" dxfId="9" priority="9">
      <formula>VLOOKUP($I$11,$A$20:$D$28,4,0)="B"</formula>
    </cfRule>
    <cfRule type="expression" dxfId="8" priority="10">
      <formula>VLOOKUP($I$11,$A$20:$D$28,4,0)="C"</formula>
    </cfRule>
  </conditionalFormatting>
  <conditionalFormatting sqref="J13:J14">
    <cfRule type="expression" dxfId="7" priority="7">
      <formula>VLOOKUP($I$13,$A$20:$D$28,4,0)="B"</formula>
    </cfRule>
    <cfRule type="expression" dxfId="6" priority="8">
      <formula>VLOOKUP($I$13,$A$20:$D$28,4,0)="C"</formula>
    </cfRule>
  </conditionalFormatting>
  <conditionalFormatting sqref="J15:J16">
    <cfRule type="expression" dxfId="5" priority="5">
      <formula>VLOOKUP($I$15,$A$20:$D$28,4,0)="B"</formula>
    </cfRule>
    <cfRule type="expression" dxfId="4" priority="6">
      <formula>VLOOKUP($I$15,$A$20:$D$28,4,0)="C"</formula>
    </cfRule>
  </conditionalFormatting>
  <conditionalFormatting sqref="J17:J18">
    <cfRule type="expression" dxfId="3" priority="3">
      <formula>VLOOKUP($I$17,$A$20:$D$28,4,0)="B"</formula>
    </cfRule>
    <cfRule type="expression" dxfId="2" priority="4">
      <formula>VLOOKUP($I$17,$A$20:$D$28,4,0)="C"</formula>
    </cfRule>
  </conditionalFormatting>
  <conditionalFormatting sqref="V5:V14">
    <cfRule type="containsText" dxfId="1" priority="1" operator="containsText" text="HIA">
      <formula>NOT(ISERROR(SEARCH("HIA",V5)))</formula>
    </cfRule>
    <cfRule type="containsText" dxfId="0" priority="2" operator="containsText" text="出血">
      <formula>NOT(ISERROR(SEARCH("出血",V5)))</formula>
    </cfRule>
  </conditionalFormatting>
  <dataValidations count="4">
    <dataValidation type="list" allowBlank="1" showInputMessage="1" showErrorMessage="1" sqref="I5 I13 I7 I9 I11 I15 I17" xr:uid="{95B2C390-020E-4517-9AB3-CC028659FD84}">
      <formula1>$A$20:$A$27</formula1>
    </dataValidation>
    <dataValidation type="list" allowBlank="1" showInputMessage="1" showErrorMessage="1" sqref="F19 F13 F5 F7 F9 F11 F15 F17 F27 F21 F23 F25" xr:uid="{8F0C91B0-2D3D-4BE7-95AD-37BAE0020F72}">
      <formula1>$A$5:$A$19</formula1>
    </dataValidation>
    <dataValidation type="list" allowBlank="1" showInputMessage="1" showErrorMessage="1" sqref="H19:H28" xr:uid="{E313E85C-7B02-49F4-B306-0222446C0A3F}">
      <formula1>"YC,RC,FPRO,FPRO/YC,FPRO/RC"</formula1>
    </dataValidation>
    <dataValidation type="list" allowBlank="1" showInputMessage="1" showErrorMessage="1" sqref="H5:H18" xr:uid="{3E9A48C6-F7A0-4A7E-A452-605A1854DC08}">
      <formula1>"戦術,出血,負傷,HIA,シンビン"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244F-5D8F-471C-8D9C-1EEA3BA3B2E5}">
  <sheetPr codeName="Sheet2"/>
  <dimension ref="A1:D23"/>
  <sheetViews>
    <sheetView workbookViewId="0">
      <selection activeCell="G13" sqref="G13"/>
    </sheetView>
  </sheetViews>
  <sheetFormatPr defaultRowHeight="18" x14ac:dyDescent="0.45"/>
  <cols>
    <col min="2" max="2" width="20.3984375" bestFit="1" customWidth="1"/>
  </cols>
  <sheetData>
    <row r="1" spans="1:4" x14ac:dyDescent="0.45">
      <c r="A1" s="3">
        <v>1</v>
      </c>
      <c r="B1" s="2" t="s">
        <v>15</v>
      </c>
      <c r="C1" s="1" t="s">
        <v>2</v>
      </c>
      <c r="D1" s="1"/>
    </row>
    <row r="2" spans="1:4" x14ac:dyDescent="0.45">
      <c r="A2" s="3">
        <v>2</v>
      </c>
      <c r="B2" s="2" t="s">
        <v>16</v>
      </c>
      <c r="C2" s="1" t="s">
        <v>2</v>
      </c>
      <c r="D2" s="1"/>
    </row>
    <row r="3" spans="1:4" x14ac:dyDescent="0.45">
      <c r="A3" s="3">
        <v>3</v>
      </c>
      <c r="B3" s="2" t="s">
        <v>17</v>
      </c>
      <c r="C3" s="1" t="s">
        <v>2</v>
      </c>
      <c r="D3" s="1"/>
    </row>
    <row r="4" spans="1:4" x14ac:dyDescent="0.45">
      <c r="A4" s="3">
        <v>4</v>
      </c>
      <c r="B4" s="2" t="s">
        <v>18</v>
      </c>
      <c r="C4" s="1"/>
      <c r="D4" s="1"/>
    </row>
    <row r="5" spans="1:4" x14ac:dyDescent="0.45">
      <c r="A5" s="3">
        <v>5</v>
      </c>
      <c r="B5" s="2" t="s">
        <v>19</v>
      </c>
      <c r="C5" s="1"/>
      <c r="D5" s="1" t="s">
        <v>38</v>
      </c>
    </row>
    <row r="6" spans="1:4" x14ac:dyDescent="0.45">
      <c r="A6" s="3">
        <v>6</v>
      </c>
      <c r="B6" s="2" t="s">
        <v>20</v>
      </c>
      <c r="C6" s="1"/>
      <c r="D6" s="1"/>
    </row>
    <row r="7" spans="1:4" x14ac:dyDescent="0.45">
      <c r="A7" s="3">
        <v>7</v>
      </c>
      <c r="B7" s="2" t="s">
        <v>21</v>
      </c>
      <c r="C7" s="1"/>
      <c r="D7" s="1"/>
    </row>
    <row r="8" spans="1:4" x14ac:dyDescent="0.45">
      <c r="A8" s="3">
        <v>8</v>
      </c>
      <c r="B8" s="2" t="s">
        <v>22</v>
      </c>
      <c r="C8" s="1"/>
      <c r="D8" s="1" t="s">
        <v>39</v>
      </c>
    </row>
    <row r="9" spans="1:4" x14ac:dyDescent="0.45">
      <c r="A9" s="3">
        <v>9</v>
      </c>
      <c r="B9" s="2" t="s">
        <v>23</v>
      </c>
      <c r="C9" s="1"/>
      <c r="D9" s="1"/>
    </row>
    <row r="10" spans="1:4" x14ac:dyDescent="0.45">
      <c r="A10" s="3">
        <v>10</v>
      </c>
      <c r="B10" s="2" t="s">
        <v>24</v>
      </c>
      <c r="C10" s="1"/>
      <c r="D10" s="1"/>
    </row>
    <row r="11" spans="1:4" x14ac:dyDescent="0.45">
      <c r="A11" s="3">
        <v>11</v>
      </c>
      <c r="B11" s="2" t="s">
        <v>25</v>
      </c>
      <c r="C11" s="1"/>
      <c r="D11" s="1"/>
    </row>
    <row r="12" spans="1:4" x14ac:dyDescent="0.45">
      <c r="A12" s="3">
        <v>12</v>
      </c>
      <c r="B12" s="2" t="s">
        <v>26</v>
      </c>
      <c r="C12" s="1"/>
      <c r="D12" s="1" t="s">
        <v>39</v>
      </c>
    </row>
    <row r="13" spans="1:4" x14ac:dyDescent="0.45">
      <c r="A13" s="3">
        <v>13</v>
      </c>
      <c r="B13" s="2" t="s">
        <v>27</v>
      </c>
      <c r="C13" s="1"/>
      <c r="D13" s="1"/>
    </row>
    <row r="14" spans="1:4" x14ac:dyDescent="0.45">
      <c r="A14" s="3">
        <v>14</v>
      </c>
      <c r="B14" s="2" t="s">
        <v>28</v>
      </c>
      <c r="C14" s="1"/>
      <c r="D14" s="1"/>
    </row>
    <row r="15" spans="1:4" x14ac:dyDescent="0.45">
      <c r="A15" s="3">
        <v>15</v>
      </c>
      <c r="B15" s="2" t="s">
        <v>29</v>
      </c>
      <c r="C15" s="1"/>
      <c r="D15" s="1" t="s">
        <v>38</v>
      </c>
    </row>
    <row r="16" spans="1:4" x14ac:dyDescent="0.45">
      <c r="A16" s="3">
        <v>16</v>
      </c>
      <c r="B16" s="2" t="s">
        <v>30</v>
      </c>
      <c r="C16" s="1" t="s">
        <v>2</v>
      </c>
      <c r="D16" s="1"/>
    </row>
    <row r="17" spans="1:4" x14ac:dyDescent="0.45">
      <c r="A17" s="3">
        <v>17</v>
      </c>
      <c r="B17" s="2" t="s">
        <v>31</v>
      </c>
      <c r="C17" s="1" t="s">
        <v>2</v>
      </c>
      <c r="D17" s="1"/>
    </row>
    <row r="18" spans="1:4" x14ac:dyDescent="0.45">
      <c r="A18" s="3">
        <v>18</v>
      </c>
      <c r="B18" s="2" t="s">
        <v>32</v>
      </c>
      <c r="C18" s="1" t="s">
        <v>2</v>
      </c>
      <c r="D18" s="1"/>
    </row>
    <row r="19" spans="1:4" x14ac:dyDescent="0.45">
      <c r="A19" s="3">
        <v>19</v>
      </c>
      <c r="B19" s="2" t="s">
        <v>33</v>
      </c>
      <c r="C19" s="1"/>
      <c r="D19" s="1" t="s">
        <v>38</v>
      </c>
    </row>
    <row r="20" spans="1:4" x14ac:dyDescent="0.45">
      <c r="A20" s="3">
        <v>20</v>
      </c>
      <c r="B20" s="2" t="s">
        <v>34</v>
      </c>
      <c r="C20" s="1"/>
      <c r="D20" s="1"/>
    </row>
    <row r="21" spans="1:4" x14ac:dyDescent="0.45">
      <c r="A21" s="3">
        <v>21</v>
      </c>
      <c r="B21" s="2" t="s">
        <v>35</v>
      </c>
      <c r="C21" s="1"/>
      <c r="D21" s="1"/>
    </row>
    <row r="22" spans="1:4" x14ac:dyDescent="0.45">
      <c r="A22" s="3">
        <v>22</v>
      </c>
      <c r="B22" s="2" t="s">
        <v>36</v>
      </c>
      <c r="C22" s="1"/>
      <c r="D22" s="1"/>
    </row>
    <row r="23" spans="1:4" x14ac:dyDescent="0.45">
      <c r="A23" s="3">
        <v>23</v>
      </c>
      <c r="B23" s="2" t="s">
        <v>37</v>
      </c>
      <c r="C23" s="1"/>
      <c r="D23" s="1" t="s">
        <v>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入替シート</vt:lpstr>
      <vt:lpstr>meibo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Yoshiyuki Niino</dc:creator>
  <cp:lastModifiedBy>Yoshiyuki Niino</cp:lastModifiedBy>
  <dcterms:created xsi:type="dcterms:W3CDTF">2024-12-03T03:18:34Z</dcterms:created>
  <dcterms:modified xsi:type="dcterms:W3CDTF">2024-12-24T08:14:11Z</dcterms:modified>
</cp:coreProperties>
</file>